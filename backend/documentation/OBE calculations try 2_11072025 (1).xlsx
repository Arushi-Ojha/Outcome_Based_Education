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Sc\IQAC\"/>
    </mc:Choice>
  </mc:AlternateContent>
  <xr:revisionPtr revIDLastSave="0" documentId="13_ncr:1_{A0A69808-1E29-43DE-B33E-FE10CDE28BBD}" xr6:coauthVersionLast="47" xr6:coauthVersionMax="47" xr10:uidLastSave="{00000000-0000-0000-0000-000000000000}"/>
  <bookViews>
    <workbookView xWindow="-108" yWindow="-108" windowWidth="23256" windowHeight="12576" tabRatio="835" activeTab="9" xr2:uid="{00000000-000D-0000-FFFF-FFFF00000000}"/>
  </bookViews>
  <sheets>
    <sheet name="GAs" sheetId="1" r:id="rId1"/>
    <sheet name="PEOs" sheetId="2" r:id="rId2"/>
    <sheet name="POs &amp; PSOs" sheetId="3" r:id="rId3"/>
    <sheet name="COs" sheetId="4" r:id="rId4"/>
    <sheet name="Assessments" sheetId="5" r:id="rId5"/>
    <sheet name="IA Marks" sheetId="6" r:id="rId6"/>
    <sheet name="Componentwise marks" sheetId="7" r:id="rId7"/>
    <sheet name="Copy of Calculations_new" sheetId="9" r:id="rId8"/>
    <sheet name="POs &amp; PSOs - CPI" sheetId="10" r:id="rId9"/>
    <sheet name="COs - CPI" sheetId="11" r:id="rId10"/>
  </sheets>
  <calcPr calcId="191029"/>
</workbook>
</file>

<file path=xl/calcChain.xml><?xml version="1.0" encoding="utf-8"?>
<calcChain xmlns="http://schemas.openxmlformats.org/spreadsheetml/2006/main">
  <c r="AB3" i="9" l="1"/>
  <c r="AB4" i="9"/>
  <c r="AB5" i="9"/>
  <c r="AB6" i="9"/>
  <c r="AB7" i="9"/>
  <c r="AB8" i="9"/>
  <c r="AB9" i="9"/>
  <c r="AB10" i="9"/>
  <c r="AB11" i="9"/>
  <c r="AB12" i="9"/>
  <c r="AB13" i="9"/>
  <c r="AB14" i="9"/>
  <c r="AB2" i="9"/>
  <c r="AA3" i="9"/>
  <c r="AA4" i="9"/>
  <c r="AA5" i="9"/>
  <c r="AA6" i="9"/>
  <c r="AA7" i="9"/>
  <c r="AA8" i="9"/>
  <c r="AA9" i="9"/>
  <c r="AA10" i="9"/>
  <c r="AA11" i="9"/>
  <c r="AA12" i="9"/>
  <c r="AA13" i="9"/>
  <c r="AA14" i="9"/>
  <c r="AA2" i="9"/>
  <c r="Z3" i="9"/>
  <c r="Z4" i="9"/>
  <c r="Z5" i="9"/>
  <c r="Z6" i="9"/>
  <c r="Z7" i="9"/>
  <c r="Z8" i="9"/>
  <c r="Z9" i="9"/>
  <c r="Z10" i="9"/>
  <c r="Z11" i="9"/>
  <c r="Z12" i="9"/>
  <c r="Z13" i="9"/>
  <c r="Z14" i="9"/>
  <c r="Z2" i="9"/>
  <c r="Y3" i="9"/>
  <c r="Y4" i="9"/>
  <c r="Y5" i="9"/>
  <c r="Y6" i="9"/>
  <c r="Y7" i="9"/>
  <c r="Y8" i="9"/>
  <c r="Y9" i="9"/>
  <c r="Y10" i="9"/>
  <c r="Y11" i="9"/>
  <c r="Y12" i="9"/>
  <c r="Y13" i="9"/>
  <c r="Y14" i="9"/>
  <c r="Y2" i="9"/>
  <c r="X3" i="9"/>
  <c r="X4" i="9"/>
  <c r="X5" i="9"/>
  <c r="X6" i="9"/>
  <c r="X7" i="9"/>
  <c r="X8" i="9"/>
  <c r="X9" i="9"/>
  <c r="X10" i="9"/>
  <c r="X11" i="9"/>
  <c r="X12" i="9"/>
  <c r="X13" i="9"/>
  <c r="X14" i="9"/>
  <c r="X2" i="9"/>
  <c r="W3" i="9"/>
  <c r="W4" i="9"/>
  <c r="W5" i="9"/>
  <c r="W6" i="9"/>
  <c r="W7" i="9"/>
  <c r="W8" i="9"/>
  <c r="W9" i="9"/>
  <c r="W10" i="9"/>
  <c r="W11" i="9"/>
  <c r="W12" i="9"/>
  <c r="W13" i="9"/>
  <c r="W14" i="9"/>
  <c r="W2" i="9"/>
  <c r="B14" i="9"/>
  <c r="A14" i="9"/>
  <c r="B13" i="9"/>
  <c r="A13" i="9"/>
  <c r="B12" i="9"/>
  <c r="A12" i="9"/>
  <c r="B11" i="9"/>
  <c r="A11" i="9"/>
  <c r="B10" i="9"/>
  <c r="A10" i="9"/>
  <c r="B9" i="9"/>
  <c r="A9" i="9"/>
  <c r="B8" i="9"/>
  <c r="A8" i="9"/>
  <c r="B7" i="9"/>
  <c r="A7" i="9"/>
  <c r="B6" i="9"/>
  <c r="A6" i="9"/>
  <c r="B5" i="9"/>
  <c r="A5" i="9"/>
  <c r="B4" i="9"/>
  <c r="A4" i="9"/>
  <c r="D3" i="9"/>
  <c r="B3" i="9"/>
  <c r="A3" i="9"/>
  <c r="B2" i="9"/>
  <c r="A2" i="9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3" i="9" s="1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E13" i="5"/>
  <c r="D13" i="5"/>
  <c r="C13" i="5"/>
  <c r="D11" i="5"/>
  <c r="F9" i="5"/>
  <c r="E9" i="5"/>
  <c r="D9" i="5"/>
  <c r="F8" i="5"/>
  <c r="E8" i="5"/>
  <c r="D8" i="5"/>
  <c r="C8" i="5"/>
  <c r="C11" i="5" s="1"/>
  <c r="I7" i="9" l="1"/>
  <c r="I8" i="9"/>
  <c r="H13" i="5"/>
  <c r="I2" i="9"/>
  <c r="I4" i="9"/>
  <c r="I10" i="9"/>
  <c r="I14" i="9"/>
  <c r="I6" i="9"/>
  <c r="I12" i="9"/>
  <c r="G2" i="9"/>
  <c r="G4" i="9"/>
  <c r="G6" i="9"/>
  <c r="G8" i="9"/>
  <c r="G10" i="9"/>
  <c r="G12" i="9"/>
  <c r="G14" i="9"/>
  <c r="D12" i="5"/>
  <c r="F13" i="5"/>
  <c r="E3" i="9"/>
  <c r="AM3" i="9" s="1"/>
  <c r="AN3" i="9" s="1"/>
  <c r="E5" i="9"/>
  <c r="E7" i="9"/>
  <c r="E9" i="9"/>
  <c r="E11" i="9"/>
  <c r="E13" i="9"/>
  <c r="E12" i="5"/>
  <c r="G3" i="9"/>
  <c r="G5" i="9"/>
  <c r="G7" i="9"/>
  <c r="G9" i="9"/>
  <c r="G11" i="9"/>
  <c r="G13" i="9"/>
  <c r="F12" i="5"/>
  <c r="I9" i="9"/>
  <c r="I11" i="9"/>
  <c r="I13" i="9"/>
  <c r="M3" i="9"/>
  <c r="L3" i="9"/>
  <c r="K3" i="9"/>
  <c r="C5" i="9"/>
  <c r="C7" i="9"/>
  <c r="C9" i="9"/>
  <c r="C11" i="9"/>
  <c r="I3" i="9"/>
  <c r="AQ3" i="9" s="1"/>
  <c r="AR3" i="9" s="1"/>
  <c r="I5" i="9"/>
  <c r="H8" i="5"/>
  <c r="C2" i="9"/>
  <c r="C4" i="9"/>
  <c r="C6" i="9"/>
  <c r="C8" i="9"/>
  <c r="C10" i="9"/>
  <c r="C12" i="9"/>
  <c r="C14" i="9"/>
  <c r="C12" i="5"/>
  <c r="C13" i="9"/>
  <c r="E11" i="5"/>
  <c r="H11" i="5" s="1"/>
  <c r="C9" i="5"/>
  <c r="H9" i="5" s="1"/>
  <c r="F11" i="5"/>
  <c r="E2" i="9"/>
  <c r="E4" i="9"/>
  <c r="E6" i="9"/>
  <c r="E8" i="9"/>
  <c r="E10" i="9"/>
  <c r="E12" i="9"/>
  <c r="E14" i="9"/>
  <c r="I11" i="5" l="1"/>
  <c r="O14" i="9"/>
  <c r="F14" i="9"/>
  <c r="P14" i="9"/>
  <c r="N14" i="9"/>
  <c r="P5" i="9"/>
  <c r="O5" i="9"/>
  <c r="N5" i="9"/>
  <c r="F5" i="9"/>
  <c r="AS8" i="9"/>
  <c r="AT8" i="9" s="1"/>
  <c r="AK8" i="9"/>
  <c r="AL8" i="9" s="1"/>
  <c r="AC8" i="9"/>
  <c r="AD8" i="9" s="1"/>
  <c r="AY8" i="9"/>
  <c r="AZ8" i="9" s="1"/>
  <c r="AW8" i="9"/>
  <c r="AX8" i="9" s="1"/>
  <c r="AM8" i="9"/>
  <c r="AN8" i="9" s="1"/>
  <c r="AI8" i="9"/>
  <c r="AJ8" i="9" s="1"/>
  <c r="M8" i="9"/>
  <c r="D8" i="9"/>
  <c r="AG8" i="9"/>
  <c r="AH8" i="9" s="1"/>
  <c r="L8" i="9"/>
  <c r="AQ8" i="9"/>
  <c r="AR8" i="9" s="1"/>
  <c r="K8" i="9"/>
  <c r="AO8" i="9"/>
  <c r="AP8" i="9" s="1"/>
  <c r="AE8" i="9"/>
  <c r="AF8" i="9" s="1"/>
  <c r="AU8" i="9"/>
  <c r="AV8" i="9" s="1"/>
  <c r="N9" i="9"/>
  <c r="F9" i="9"/>
  <c r="P9" i="9"/>
  <c r="O9" i="9"/>
  <c r="AS13" i="9"/>
  <c r="AT13" i="9" s="1"/>
  <c r="AK13" i="9"/>
  <c r="AL13" i="9" s="1"/>
  <c r="AC13" i="9"/>
  <c r="AD13" i="9" s="1"/>
  <c r="AY13" i="9"/>
  <c r="AZ13" i="9" s="1"/>
  <c r="AQ13" i="9"/>
  <c r="AR13" i="9" s="1"/>
  <c r="AI13" i="9"/>
  <c r="AJ13" i="9" s="1"/>
  <c r="M13" i="9"/>
  <c r="AO13" i="9"/>
  <c r="AP13" i="9" s="1"/>
  <c r="L13" i="9"/>
  <c r="AM13" i="9"/>
  <c r="AN13" i="9" s="1"/>
  <c r="K13" i="9"/>
  <c r="AU13" i="9"/>
  <c r="AV13" i="9" s="1"/>
  <c r="AG13" i="9"/>
  <c r="AH13" i="9" s="1"/>
  <c r="D13" i="9"/>
  <c r="AE13" i="9"/>
  <c r="AF13" i="9" s="1"/>
  <c r="AW13" i="9"/>
  <c r="AX13" i="9" s="1"/>
  <c r="AU11" i="9"/>
  <c r="AV11" i="9" s="1"/>
  <c r="AM11" i="9"/>
  <c r="AN11" i="9" s="1"/>
  <c r="AE11" i="9"/>
  <c r="AF11" i="9" s="1"/>
  <c r="L11" i="9"/>
  <c r="D11" i="9"/>
  <c r="AO11" i="9"/>
  <c r="AP11" i="9" s="1"/>
  <c r="AY11" i="9"/>
  <c r="AZ11" i="9" s="1"/>
  <c r="AC11" i="9"/>
  <c r="AD11" i="9" s="1"/>
  <c r="K11" i="9"/>
  <c r="AS11" i="9"/>
  <c r="AT11" i="9" s="1"/>
  <c r="AI11" i="9"/>
  <c r="AJ11" i="9" s="1"/>
  <c r="AG11" i="9"/>
  <c r="AH11" i="9" s="1"/>
  <c r="AQ11" i="9"/>
  <c r="AR11" i="9" s="1"/>
  <c r="AK11" i="9"/>
  <c r="AL11" i="9" s="1"/>
  <c r="M11" i="9"/>
  <c r="AW11" i="9"/>
  <c r="AX11" i="9" s="1"/>
  <c r="AO5" i="9"/>
  <c r="AP5" i="9" s="1"/>
  <c r="AE5" i="9"/>
  <c r="AF5" i="9" s="1"/>
  <c r="L5" i="9"/>
  <c r="D5" i="9"/>
  <c r="AW5" i="9"/>
  <c r="AX5" i="9" s="1"/>
  <c r="AM5" i="9"/>
  <c r="AN5" i="9" s="1"/>
  <c r="K5" i="9"/>
  <c r="AS5" i="9"/>
  <c r="AT5" i="9" s="1"/>
  <c r="AI5" i="9"/>
  <c r="AJ5" i="9" s="1"/>
  <c r="AQ5" i="9"/>
  <c r="AR5" i="9" s="1"/>
  <c r="AY5" i="9"/>
  <c r="AZ5" i="9" s="1"/>
  <c r="AG5" i="9"/>
  <c r="AH5" i="9" s="1"/>
  <c r="M5" i="9"/>
  <c r="AC5" i="9"/>
  <c r="AD5" i="9" s="1"/>
  <c r="AU5" i="9"/>
  <c r="AV5" i="9" s="1"/>
  <c r="AK5" i="9"/>
  <c r="AL5" i="9" s="1"/>
  <c r="AC3" i="9"/>
  <c r="AD3" i="9" s="1"/>
  <c r="S2" i="9"/>
  <c r="R2" i="9"/>
  <c r="Q2" i="9"/>
  <c r="H2" i="9"/>
  <c r="J8" i="9"/>
  <c r="V8" i="9"/>
  <c r="U8" i="9"/>
  <c r="T8" i="9"/>
  <c r="J13" i="9"/>
  <c r="U13" i="9"/>
  <c r="V13" i="9"/>
  <c r="T13" i="9"/>
  <c r="AW3" i="9"/>
  <c r="AX3" i="9" s="1"/>
  <c r="AW2" i="9"/>
  <c r="AX2" i="9" s="1"/>
  <c r="AO2" i="9"/>
  <c r="AP2" i="9" s="1"/>
  <c r="AG2" i="9"/>
  <c r="AH2" i="9" s="1"/>
  <c r="K2" i="9"/>
  <c r="AS2" i="9"/>
  <c r="AT2" i="9" s="1"/>
  <c r="AK2" i="9"/>
  <c r="AL2" i="9" s="1"/>
  <c r="AC2" i="9"/>
  <c r="AD2" i="9" s="1"/>
  <c r="AY2" i="9"/>
  <c r="AZ2" i="9" s="1"/>
  <c r="AQ2" i="9"/>
  <c r="AR2" i="9" s="1"/>
  <c r="AI2" i="9"/>
  <c r="AJ2" i="9" s="1"/>
  <c r="AE2" i="9"/>
  <c r="AF2" i="9" s="1"/>
  <c r="M2" i="9"/>
  <c r="AM2" i="9"/>
  <c r="AN2" i="9" s="1"/>
  <c r="D2" i="9"/>
  <c r="AU2" i="9"/>
  <c r="AV2" i="9" s="1"/>
  <c r="L2" i="9"/>
  <c r="AY3" i="9"/>
  <c r="AZ3" i="9" s="1"/>
  <c r="Q14" i="9"/>
  <c r="S14" i="9"/>
  <c r="R14" i="9"/>
  <c r="H14" i="9"/>
  <c r="AK3" i="9"/>
  <c r="AL3" i="9" s="1"/>
  <c r="S5" i="9"/>
  <c r="H5" i="9"/>
  <c r="R5" i="9"/>
  <c r="Q5" i="9"/>
  <c r="V12" i="9"/>
  <c r="J12" i="9"/>
  <c r="U12" i="9"/>
  <c r="T12" i="9"/>
  <c r="V7" i="9"/>
  <c r="U7" i="9"/>
  <c r="T7" i="9"/>
  <c r="J7" i="9"/>
  <c r="M4" i="9"/>
  <c r="AU4" i="9"/>
  <c r="AV4" i="9" s="1"/>
  <c r="AM4" i="9"/>
  <c r="AN4" i="9" s="1"/>
  <c r="AE4" i="9"/>
  <c r="AF4" i="9" s="1"/>
  <c r="L4" i="9"/>
  <c r="D4" i="9"/>
  <c r="AY4" i="9"/>
  <c r="AZ4" i="9" s="1"/>
  <c r="AQ4" i="9"/>
  <c r="AR4" i="9" s="1"/>
  <c r="AI4" i="9"/>
  <c r="AJ4" i="9" s="1"/>
  <c r="AW4" i="9"/>
  <c r="AX4" i="9" s="1"/>
  <c r="AO4" i="9"/>
  <c r="AP4" i="9" s="1"/>
  <c r="AG4" i="9"/>
  <c r="AH4" i="9" s="1"/>
  <c r="K4" i="9"/>
  <c r="AS4" i="9"/>
  <c r="AT4" i="9" s="1"/>
  <c r="AK4" i="9"/>
  <c r="AL4" i="9" s="1"/>
  <c r="AC4" i="9"/>
  <c r="AD4" i="9" s="1"/>
  <c r="AO3" i="9"/>
  <c r="AP3" i="9" s="1"/>
  <c r="AU14" i="9"/>
  <c r="AV14" i="9" s="1"/>
  <c r="AM14" i="9"/>
  <c r="AN14" i="9" s="1"/>
  <c r="AE14" i="9"/>
  <c r="AF14" i="9" s="1"/>
  <c r="L14" i="9"/>
  <c r="D14" i="9"/>
  <c r="AO14" i="9"/>
  <c r="AP14" i="9" s="1"/>
  <c r="AC14" i="9"/>
  <c r="AD14" i="9" s="1"/>
  <c r="M14" i="9"/>
  <c r="K14" i="9"/>
  <c r="AI14" i="9"/>
  <c r="AJ14" i="9" s="1"/>
  <c r="AG14" i="9"/>
  <c r="AH14" i="9" s="1"/>
  <c r="AS14" i="9"/>
  <c r="AT14" i="9" s="1"/>
  <c r="AQ14" i="9"/>
  <c r="AR14" i="9" s="1"/>
  <c r="AY14" i="9"/>
  <c r="AZ14" i="9" s="1"/>
  <c r="AW14" i="9"/>
  <c r="AX14" i="9" s="1"/>
  <c r="AK14" i="9"/>
  <c r="AL14" i="9" s="1"/>
  <c r="V2" i="9"/>
  <c r="J2" i="9"/>
  <c r="U2" i="9"/>
  <c r="T2" i="9"/>
  <c r="R13" i="9"/>
  <c r="H13" i="9"/>
  <c r="S13" i="9"/>
  <c r="Q13" i="9"/>
  <c r="N3" i="9"/>
  <c r="F3" i="9"/>
  <c r="P3" i="9"/>
  <c r="O3" i="9"/>
  <c r="N12" i="9"/>
  <c r="F12" i="9"/>
  <c r="P12" i="9"/>
  <c r="O12" i="9"/>
  <c r="H12" i="5"/>
  <c r="AU6" i="9"/>
  <c r="AV6" i="9" s="1"/>
  <c r="AM6" i="9"/>
  <c r="AN6" i="9" s="1"/>
  <c r="AE6" i="9"/>
  <c r="AF6" i="9" s="1"/>
  <c r="L6" i="9"/>
  <c r="D6" i="9"/>
  <c r="AK6" i="9"/>
  <c r="AL6" i="9" s="1"/>
  <c r="AS6" i="9"/>
  <c r="AT6" i="9" s="1"/>
  <c r="AY6" i="9"/>
  <c r="AZ6" i="9" s="1"/>
  <c r="AG6" i="9"/>
  <c r="AH6" i="9" s="1"/>
  <c r="K6" i="9"/>
  <c r="AO6" i="9"/>
  <c r="AP6" i="9" s="1"/>
  <c r="AW6" i="9"/>
  <c r="AX6" i="9" s="1"/>
  <c r="AC6" i="9"/>
  <c r="AD6" i="9" s="1"/>
  <c r="AQ6" i="9"/>
  <c r="AR6" i="9" s="1"/>
  <c r="AI6" i="9"/>
  <c r="AJ6" i="9" s="1"/>
  <c r="M6" i="9"/>
  <c r="T5" i="9"/>
  <c r="V5" i="9"/>
  <c r="U5" i="9"/>
  <c r="J5" i="9"/>
  <c r="AS3" i="9"/>
  <c r="AT3" i="9" s="1"/>
  <c r="V9" i="9"/>
  <c r="U9" i="9"/>
  <c r="T9" i="9"/>
  <c r="J9" i="9"/>
  <c r="P7" i="9"/>
  <c r="O7" i="9"/>
  <c r="F7" i="9"/>
  <c r="N7" i="9"/>
  <c r="R8" i="9"/>
  <c r="Q8" i="9"/>
  <c r="H8" i="9"/>
  <c r="S8" i="9"/>
  <c r="V3" i="9"/>
  <c r="U3" i="9"/>
  <c r="J3" i="9"/>
  <c r="T3" i="9"/>
  <c r="O11" i="9"/>
  <c r="F11" i="9"/>
  <c r="P11" i="9"/>
  <c r="N11" i="9"/>
  <c r="K7" i="9"/>
  <c r="AQ7" i="9"/>
  <c r="AR7" i="9" s="1"/>
  <c r="M7" i="9"/>
  <c r="D7" i="9"/>
  <c r="AY7" i="9"/>
  <c r="AZ7" i="9" s="1"/>
  <c r="AG7" i="9"/>
  <c r="AH7" i="9" s="1"/>
  <c r="L7" i="9"/>
  <c r="AM7" i="9"/>
  <c r="AN7" i="9" s="1"/>
  <c r="AC7" i="9"/>
  <c r="AD7" i="9" s="1"/>
  <c r="AU7" i="9"/>
  <c r="AV7" i="9" s="1"/>
  <c r="AK7" i="9"/>
  <c r="AL7" i="9" s="1"/>
  <c r="AS7" i="9"/>
  <c r="AT7" i="9" s="1"/>
  <c r="AI7" i="9"/>
  <c r="AJ7" i="9" s="1"/>
  <c r="AE7" i="9"/>
  <c r="AF7" i="9" s="1"/>
  <c r="AO7" i="9"/>
  <c r="AP7" i="9" s="1"/>
  <c r="AW7" i="9"/>
  <c r="AX7" i="9" s="1"/>
  <c r="Q4" i="9"/>
  <c r="H4" i="9"/>
  <c r="S4" i="9"/>
  <c r="R4" i="9"/>
  <c r="S7" i="9"/>
  <c r="Q7" i="9"/>
  <c r="H7" i="9"/>
  <c r="R7" i="9"/>
  <c r="H10" i="9"/>
  <c r="R10" i="9"/>
  <c r="Q10" i="9"/>
  <c r="S10" i="9"/>
  <c r="P4" i="9"/>
  <c r="O4" i="9"/>
  <c r="N4" i="9"/>
  <c r="F4" i="9"/>
  <c r="K12" i="9"/>
  <c r="AW12" i="9"/>
  <c r="AX12" i="9" s="1"/>
  <c r="AO12" i="9"/>
  <c r="AP12" i="9" s="1"/>
  <c r="AG12" i="9"/>
  <c r="AH12" i="9" s="1"/>
  <c r="L12" i="9"/>
  <c r="AY12" i="9"/>
  <c r="AZ12" i="9" s="1"/>
  <c r="AM12" i="9"/>
  <c r="AN12" i="9" s="1"/>
  <c r="AU12" i="9"/>
  <c r="AV12" i="9" s="1"/>
  <c r="AS12" i="9"/>
  <c r="AT12" i="9" s="1"/>
  <c r="D12" i="9"/>
  <c r="AQ12" i="9"/>
  <c r="AR12" i="9" s="1"/>
  <c r="AE12" i="9"/>
  <c r="AF12" i="9" s="1"/>
  <c r="AC12" i="9"/>
  <c r="AD12" i="9" s="1"/>
  <c r="M12" i="9"/>
  <c r="AK12" i="9"/>
  <c r="AL12" i="9" s="1"/>
  <c r="AI12" i="9"/>
  <c r="AJ12" i="9" s="1"/>
  <c r="AW9" i="9"/>
  <c r="AX9" i="9" s="1"/>
  <c r="AO9" i="9"/>
  <c r="AP9" i="9" s="1"/>
  <c r="AG9" i="9"/>
  <c r="AH9" i="9" s="1"/>
  <c r="AQ9" i="9"/>
  <c r="AR9" i="9" s="1"/>
  <c r="AE9" i="9"/>
  <c r="AF9" i="9" s="1"/>
  <c r="M9" i="9"/>
  <c r="AU9" i="9"/>
  <c r="AV9" i="9" s="1"/>
  <c r="AK9" i="9"/>
  <c r="AL9" i="9" s="1"/>
  <c r="L9" i="9"/>
  <c r="AI9" i="9"/>
  <c r="AJ9" i="9" s="1"/>
  <c r="K9" i="9"/>
  <c r="AS9" i="9"/>
  <c r="AT9" i="9" s="1"/>
  <c r="AC9" i="9"/>
  <c r="AD9" i="9" s="1"/>
  <c r="AY9" i="9"/>
  <c r="AZ9" i="9" s="1"/>
  <c r="AM9" i="9"/>
  <c r="AN9" i="9" s="1"/>
  <c r="D9" i="9"/>
  <c r="AU3" i="9"/>
  <c r="AV3" i="9" s="1"/>
  <c r="Q11" i="9"/>
  <c r="S11" i="9"/>
  <c r="R11" i="9"/>
  <c r="H11" i="9"/>
  <c r="R3" i="9"/>
  <c r="Q3" i="9"/>
  <c r="H3" i="9"/>
  <c r="S3" i="9"/>
  <c r="P13" i="9"/>
  <c r="F13" i="9"/>
  <c r="O13" i="9"/>
  <c r="N13" i="9"/>
  <c r="S12" i="9"/>
  <c r="Q12" i="9"/>
  <c r="R12" i="9"/>
  <c r="H12" i="9"/>
  <c r="U4" i="9"/>
  <c r="T4" i="9"/>
  <c r="V4" i="9"/>
  <c r="J4" i="9"/>
  <c r="P8" i="9"/>
  <c r="O8" i="9"/>
  <c r="N8" i="9"/>
  <c r="F8" i="9"/>
  <c r="AI3" i="9"/>
  <c r="AJ3" i="9" s="1"/>
  <c r="T14" i="9"/>
  <c r="U14" i="9"/>
  <c r="J14" i="9"/>
  <c r="V14" i="9"/>
  <c r="I13" i="5"/>
  <c r="P6" i="9"/>
  <c r="O6" i="9"/>
  <c r="F6" i="9"/>
  <c r="N6" i="9"/>
  <c r="T11" i="9"/>
  <c r="V11" i="9"/>
  <c r="U11" i="9"/>
  <c r="J11" i="9"/>
  <c r="U10" i="9"/>
  <c r="V10" i="9"/>
  <c r="T10" i="9"/>
  <c r="J10" i="9"/>
  <c r="P10" i="9"/>
  <c r="F10" i="9"/>
  <c r="O10" i="9"/>
  <c r="N10" i="9"/>
  <c r="O2" i="9"/>
  <c r="N2" i="9"/>
  <c r="F2" i="9"/>
  <c r="P2" i="9"/>
  <c r="M10" i="9"/>
  <c r="AY10" i="9"/>
  <c r="AZ10" i="9" s="1"/>
  <c r="AQ10" i="9"/>
  <c r="AR10" i="9" s="1"/>
  <c r="AI10" i="9"/>
  <c r="AJ10" i="9" s="1"/>
  <c r="AU10" i="9"/>
  <c r="AV10" i="9" s="1"/>
  <c r="AK10" i="9"/>
  <c r="AL10" i="9" s="1"/>
  <c r="L10" i="9"/>
  <c r="K10" i="9"/>
  <c r="AE10" i="9"/>
  <c r="AF10" i="9" s="1"/>
  <c r="AO10" i="9"/>
  <c r="AP10" i="9" s="1"/>
  <c r="AM10" i="9"/>
  <c r="AN10" i="9" s="1"/>
  <c r="AC10" i="9"/>
  <c r="AD10" i="9" s="1"/>
  <c r="D10" i="9"/>
  <c r="AW10" i="9"/>
  <c r="AX10" i="9" s="1"/>
  <c r="AS10" i="9"/>
  <c r="AT10" i="9" s="1"/>
  <c r="AG10" i="9"/>
  <c r="AH10" i="9" s="1"/>
  <c r="AE3" i="9"/>
  <c r="AF3" i="9" s="1"/>
  <c r="AG3" i="9"/>
  <c r="AH3" i="9" s="1"/>
  <c r="Q9" i="9"/>
  <c r="S9" i="9"/>
  <c r="H9" i="9"/>
  <c r="R9" i="9"/>
  <c r="S6" i="9"/>
  <c r="R6" i="9"/>
  <c r="Q6" i="9"/>
  <c r="H6" i="9"/>
  <c r="T6" i="9"/>
  <c r="U6" i="9"/>
  <c r="J6" i="9"/>
  <c r="V6" i="9"/>
  <c r="I12" i="5" l="1"/>
</calcChain>
</file>

<file path=xl/sharedStrings.xml><?xml version="1.0" encoding="utf-8"?>
<sst xmlns="http://schemas.openxmlformats.org/spreadsheetml/2006/main" count="471" uniqueCount="322">
  <si>
    <t>GA ID</t>
  </si>
  <si>
    <t>Name</t>
  </si>
  <si>
    <t>Description</t>
  </si>
  <si>
    <t>NHEQF Level</t>
  </si>
  <si>
    <t>GA1</t>
  </si>
  <si>
    <t>Comprehensive Knowledge</t>
  </si>
  <si>
    <t>Deep understanding of scientific concepts</t>
  </si>
  <si>
    <t>GA2</t>
  </si>
  <si>
    <t>Scientific Outlook</t>
  </si>
  <si>
    <t>Apply scientific principles to real-world problems</t>
  </si>
  <si>
    <t>GA3</t>
  </si>
  <si>
    <t>Subject Expertise</t>
  </si>
  <si>
    <t>Mastery in biotechnology and genetics</t>
  </si>
  <si>
    <t>GA4</t>
  </si>
  <si>
    <t>Critical Thinking &amp; Problem Analysis</t>
  </si>
  <si>
    <t>Analyze and solve complex problems</t>
  </si>
  <si>
    <t>GA5</t>
  </si>
  <si>
    <t>Teamwork and Accountability</t>
  </si>
  <si>
    <t>Collaborate effectively with accountability</t>
  </si>
  <si>
    <t>GA6</t>
  </si>
  <si>
    <t>Communication Skills</t>
  </si>
  <si>
    <t>Communicate scientific ideas clearly</t>
  </si>
  <si>
    <t>GA7</t>
  </si>
  <si>
    <t>Professionalism and Leadership Readiness</t>
  </si>
  <si>
    <t>Exhibit leadership in scientific tasks</t>
  </si>
  <si>
    <t>GA8</t>
  </si>
  <si>
    <t>Intercultural and Ethical Competency</t>
  </si>
  <si>
    <t>Apply ethical and cultural principles</t>
  </si>
  <si>
    <t>GA9</t>
  </si>
  <si>
    <t>Lifelong Learning</t>
  </si>
  <si>
    <t>Engage in continuous learning</t>
  </si>
  <si>
    <t>GA10</t>
  </si>
  <si>
    <t>Environment Sustainability</t>
  </si>
  <si>
    <t>Address environmental issues</t>
  </si>
  <si>
    <t>GA11</t>
  </si>
  <si>
    <t>Design/Develop Solutions</t>
  </si>
  <si>
    <t>Design innovative solutions</t>
  </si>
  <si>
    <t>PEO ID</t>
  </si>
  <si>
    <t>PEO1</t>
  </si>
  <si>
    <t>Exhibit a spirit of scientific inquiry</t>
  </si>
  <si>
    <t>PEO2</t>
  </si>
  <si>
    <t>Adapt to new technologies and methodologies</t>
  </si>
  <si>
    <t>PEO3</t>
  </si>
  <si>
    <t>Analyze real life problems and design solutions</t>
  </si>
  <si>
    <t>PEO4</t>
  </si>
  <si>
    <t>Apply ethical and social responsibilities</t>
  </si>
  <si>
    <t>PEO5</t>
  </si>
  <si>
    <t>Create entrepreneurial mindset</t>
  </si>
  <si>
    <t>PO ID</t>
  </si>
  <si>
    <t>KSA Tag</t>
  </si>
  <si>
    <t>PO1</t>
  </si>
  <si>
    <t>Propose novel ideas for solutions</t>
  </si>
  <si>
    <t>Knowledge</t>
  </si>
  <si>
    <t>PO2</t>
  </si>
  <si>
    <t>Demonstrate scientific outlook</t>
  </si>
  <si>
    <t>PO3</t>
  </si>
  <si>
    <t>Analyze complex scientific problems</t>
  </si>
  <si>
    <t>Skill</t>
  </si>
  <si>
    <t>PO4</t>
  </si>
  <si>
    <t>Comprehend and communicate concepts</t>
  </si>
  <si>
    <t>PO5</t>
  </si>
  <si>
    <t>Interpret scientific data critically</t>
  </si>
  <si>
    <t>PO6</t>
  </si>
  <si>
    <t>Demonstrate empathetic social concerns</t>
  </si>
  <si>
    <t>Attitude</t>
  </si>
  <si>
    <t>PO7</t>
  </si>
  <si>
    <t>Imbibe ethical and moral values</t>
  </si>
  <si>
    <t>PO8</t>
  </si>
  <si>
    <t>Address social and environmental issues</t>
  </si>
  <si>
    <t>PO9</t>
  </si>
  <si>
    <t>Illustrate multidimensional skills</t>
  </si>
  <si>
    <t>PSO1</t>
  </si>
  <si>
    <t>Acquire interdisciplinary knowledge</t>
  </si>
  <si>
    <t>PSO2</t>
  </si>
  <si>
    <t>Attain multifaceted skill sets</t>
  </si>
  <si>
    <t>PSO3</t>
  </si>
  <si>
    <t>Explore career prospects in healthcare/research</t>
  </si>
  <si>
    <t>Course ID</t>
  </si>
  <si>
    <t>CO ID</t>
  </si>
  <si>
    <t>Statement</t>
  </si>
  <si>
    <t>KSA Level</t>
  </si>
  <si>
    <t>CO01</t>
  </si>
  <si>
    <t>Understand various concepts of plant physiology and photobiology</t>
  </si>
  <si>
    <t>K1</t>
  </si>
  <si>
    <t>CO02</t>
  </si>
  <si>
    <t>Analyse and assess the mechanism of physiology of stress in plant systems</t>
  </si>
  <si>
    <t>K2</t>
  </si>
  <si>
    <t>CO03</t>
  </si>
  <si>
    <t>Identify the role of different growth regulators and media constituents in development</t>
  </si>
  <si>
    <t>S1</t>
  </si>
  <si>
    <t>CO04</t>
  </si>
  <si>
    <t>Apply techniques of micropropagation for ex situ conservation</t>
  </si>
  <si>
    <t>Assessment Name</t>
  </si>
  <si>
    <t>Max Marks</t>
  </si>
  <si>
    <t>Threshold (%)</t>
  </si>
  <si>
    <t>Attendance</t>
  </si>
  <si>
    <t>Class Participation</t>
  </si>
  <si>
    <t>Midterm</t>
  </si>
  <si>
    <t>Activity 1</t>
  </si>
  <si>
    <t>Activity 2</t>
  </si>
  <si>
    <t>End Semester Exam</t>
  </si>
  <si>
    <t>Max Score</t>
  </si>
  <si>
    <t>threshold score</t>
  </si>
  <si>
    <t>K</t>
  </si>
  <si>
    <t>S</t>
  </si>
  <si>
    <t>A</t>
  </si>
  <si>
    <t>TOTAL MID TERM</t>
  </si>
  <si>
    <t>ACTIVITY 1</t>
  </si>
  <si>
    <t>ACTIVITY 2</t>
  </si>
  <si>
    <t>CLASS PARTICIPATION</t>
  </si>
  <si>
    <t>ATTENDANCE</t>
  </si>
  <si>
    <t>S N</t>
  </si>
  <si>
    <t>USN NO</t>
  </si>
  <si>
    <t>STUDENT NAME</t>
  </si>
  <si>
    <t>10 MARKS</t>
  </si>
  <si>
    <t>15 MARKS</t>
  </si>
  <si>
    <t>5 MARKS</t>
  </si>
  <si>
    <t>22BSR16003</t>
  </si>
  <si>
    <t>ANANYA SURESH</t>
  </si>
  <si>
    <t>22BSR16005</t>
  </si>
  <si>
    <t>MANYA MAHESHWARI</t>
  </si>
  <si>
    <t>22BSR16006</t>
  </si>
  <si>
    <t>PRERANA IYENGAR K L</t>
  </si>
  <si>
    <t>22BSR16025</t>
  </si>
  <si>
    <t>DHARANESHWAR G</t>
  </si>
  <si>
    <t>22BSR16028</t>
  </si>
  <si>
    <t>ARDRA R</t>
  </si>
  <si>
    <t>22BSR16030</t>
  </si>
  <si>
    <t>KRUTHIKA S</t>
  </si>
  <si>
    <t>22BSR16038</t>
  </si>
  <si>
    <t>KESANI DEEKSHITHA</t>
  </si>
  <si>
    <t>22BSR16040</t>
  </si>
  <si>
    <t>PALLE KUSUMA KUMARI</t>
  </si>
  <si>
    <t>22BSR16043</t>
  </si>
  <si>
    <t>FAIZULLAH</t>
  </si>
  <si>
    <t>22BSR16044</t>
  </si>
  <si>
    <t>KALAIVI V</t>
  </si>
  <si>
    <t>22BSR16073</t>
  </si>
  <si>
    <t>MANISH D</t>
  </si>
  <si>
    <t>22BSR16075</t>
  </si>
  <si>
    <t>GOPIKA SURESH</t>
  </si>
  <si>
    <t>22BSR16087</t>
  </si>
  <si>
    <t>SAATVIK TYAGI</t>
  </si>
  <si>
    <t>USN No</t>
  </si>
  <si>
    <t>CP</t>
  </si>
  <si>
    <t>MT</t>
  </si>
  <si>
    <t>ACT1</t>
  </si>
  <si>
    <t>ACT2</t>
  </si>
  <si>
    <t xml:space="preserve">22BT6D102 </t>
  </si>
  <si>
    <t>22BT6D103</t>
  </si>
  <si>
    <t>22BT6D104</t>
  </si>
  <si>
    <t>22BT6D105</t>
  </si>
  <si>
    <t>22BT6D106</t>
  </si>
  <si>
    <t>22BT6D107</t>
  </si>
  <si>
    <t>22BT6D108</t>
  </si>
  <si>
    <t>22BT6D109</t>
  </si>
  <si>
    <t>22BT6D110</t>
  </si>
  <si>
    <t>22BT6D111</t>
  </si>
  <si>
    <t>22BT6D112</t>
  </si>
  <si>
    <t>22BT6D113</t>
  </si>
  <si>
    <t>22BT6D114</t>
  </si>
  <si>
    <t>Student Name</t>
  </si>
  <si>
    <t>CO01_Score</t>
  </si>
  <si>
    <t>CO01_Attainment</t>
  </si>
  <si>
    <t>CO02_Score</t>
  </si>
  <si>
    <t>CO02_Attainment</t>
  </si>
  <si>
    <t>CO03_Score</t>
  </si>
  <si>
    <t>CO03_Attainment</t>
  </si>
  <si>
    <t>CO04_Score</t>
  </si>
  <si>
    <t>CO04_Attainment</t>
  </si>
  <si>
    <t>CO01_Knowledge</t>
  </si>
  <si>
    <t>CO01_Skill</t>
  </si>
  <si>
    <t>CO01_Attitude</t>
  </si>
  <si>
    <t>CO02_Knowledge</t>
  </si>
  <si>
    <t>CO02_Skill</t>
  </si>
  <si>
    <t>CO02_Attitude</t>
  </si>
  <si>
    <t>CO03_Knowledge</t>
  </si>
  <si>
    <t>CO03_Skill</t>
  </si>
  <si>
    <t>CO03_Attitude</t>
  </si>
  <si>
    <t>CO04_Knowledge</t>
  </si>
  <si>
    <t>CO04_Skill</t>
  </si>
  <si>
    <t>CO04_Attitude</t>
  </si>
  <si>
    <t>CO_Knowledge_Score</t>
  </si>
  <si>
    <t>CO_Knowledge_Attainment</t>
  </si>
  <si>
    <t>CO_Skill_Score</t>
  </si>
  <si>
    <t>CO_Skill_attainment</t>
  </si>
  <si>
    <t>CO_Attitude_Score</t>
  </si>
  <si>
    <t>CO_Attitude_Attainment</t>
  </si>
  <si>
    <t>PO1_Score</t>
  </si>
  <si>
    <t>PO1_Attainment</t>
  </si>
  <si>
    <t>PO2_Score</t>
  </si>
  <si>
    <t>PO2_attainment</t>
  </si>
  <si>
    <t>PO3_Score</t>
  </si>
  <si>
    <t>PO3_attainment</t>
  </si>
  <si>
    <t>PO4_Score</t>
  </si>
  <si>
    <t>PO4_attainment</t>
  </si>
  <si>
    <t>PO5_Score</t>
  </si>
  <si>
    <t>PO5_attainment</t>
  </si>
  <si>
    <t>PO6_score</t>
  </si>
  <si>
    <t>PO6_attainment</t>
  </si>
  <si>
    <t>PO7_Score</t>
  </si>
  <si>
    <t>PO7_attainment</t>
  </si>
  <si>
    <t>PO8_Score</t>
  </si>
  <si>
    <t>PO8_attainment</t>
  </si>
  <si>
    <t>PO9_Score</t>
  </si>
  <si>
    <t>PO9_attainment</t>
  </si>
  <si>
    <t>PSO1_Score</t>
  </si>
  <si>
    <t>PSO1_attainment</t>
  </si>
  <si>
    <t>PSO2_Score</t>
  </si>
  <si>
    <t>PSO2_attainment</t>
  </si>
  <si>
    <t>PSO3_Score</t>
  </si>
  <si>
    <t>PSO3_attainment</t>
  </si>
  <si>
    <t>PO Statement</t>
  </si>
  <si>
    <t>KSA</t>
  </si>
  <si>
    <t>CO Statement</t>
  </si>
  <si>
    <t>Competency ID &amp; Statement</t>
  </si>
  <si>
    <t>Performance Indicator IDs &amp; Statements</t>
  </si>
  <si>
    <t>CO1</t>
  </si>
  <si>
    <t>Understand plant physiology concepts</t>
  </si>
  <si>
    <t>CO2</t>
  </si>
  <si>
    <t>Analyse plant responses under environmental stress</t>
  </si>
  <si>
    <t>CO3</t>
  </si>
  <si>
    <t>Identify the role of growth regulators in plant morphogenesis</t>
  </si>
  <si>
    <t>CO4</t>
  </si>
  <si>
    <t>Apply micropropagation techniques for ex situ conservation</t>
  </si>
  <si>
    <t>1.1.1: Explain xylem/phloem functions</t>
  </si>
  <si>
    <t>1.1.2: Describe stomatal regulation</t>
  </si>
  <si>
    <t>1.2.1: Outline stages of photosynthesis</t>
  </si>
  <si>
    <t>1.2.2: Compare aerobic and anaerobic respiration</t>
  </si>
  <si>
    <t>1.1: Comprehend water and mineral transport systems</t>
  </si>
  <si>
    <t>1.2: Recognize basic concepts in photosynthesis and respiration</t>
  </si>
  <si>
    <t>2.1: Analyze stress-response mechanisms</t>
  </si>
  <si>
    <t>2.2: Evaluate adaptations in stress-affected plants</t>
  </si>
  <si>
    <t>3.1: Recognize types and functions of plant hormones</t>
  </si>
  <si>
    <t>3.2: Design experimental setups to study hormone activity</t>
  </si>
  <si>
    <t>4.1: Perform core tissue culture operations</t>
  </si>
  <si>
    <t>4.2: Monitor and record micropropagation stages</t>
  </si>
  <si>
    <t>2.1.1: Interpret experimental data on drought/salinity</t>
  </si>
  <si>
    <t>2.1.2: Explain osmotic adjustment strategies</t>
  </si>
  <si>
    <t>2.2.1: Compare leaf modifications</t>
  </si>
  <si>
    <t>2.2.2: Justify adaptive root behavior</t>
  </si>
  <si>
    <t>3.1.1: List key plant hormones</t>
  </si>
  <si>
    <t>3.1.2: Match hormone types to developmental roles</t>
  </si>
  <si>
    <t>3.2.1: Propose an auxin-based shoot/root study</t>
  </si>
  <si>
    <t>3.2.2: Select controls and variables</t>
  </si>
  <si>
    <t>4.1.1: Execute explant sterilization</t>
  </si>
  <si>
    <t>4.1.2: Inoculate explants in culture medium</t>
  </si>
  <si>
    <t>4.2.1: Maintain culture hygiene</t>
  </si>
  <si>
    <t>4.2.2: Log root/shoot formation and callus behavior</t>
  </si>
  <si>
    <t>Comprehend and communicate scientific concepts</t>
  </si>
  <si>
    <t>1.1: Identify gaps in scientific understanding</t>
  </si>
  <si>
    <t>1.2: Develop problem-solving strategies</t>
  </si>
  <si>
    <t>2.1: Apply scientific reasoning to real-life situations</t>
  </si>
  <si>
    <t>2.2: Interpret scientific information critically</t>
  </si>
  <si>
    <t>3.1: Break down biological systems or data</t>
  </si>
  <si>
    <t>3.2: Draw connections between theory and application</t>
  </si>
  <si>
    <t>4.1: Present concepts effectively</t>
  </si>
  <si>
    <t>4.2: Adapt communication for diverse audiences</t>
  </si>
  <si>
    <t>5.1: Analyze and extract patterns from datasets</t>
  </si>
  <si>
    <t>5.2: Apply tools to support analysis</t>
  </si>
  <si>
    <t>6.1: Show awareness of community issues</t>
  </si>
  <si>
    <t>6.2: Participate in socially relevant initiatives</t>
  </si>
  <si>
    <t>7.1: Uphold research and academic integrity</t>
  </si>
  <si>
    <t>7.2: Make decisions guided by ethical principles</t>
  </si>
  <si>
    <t>8.1: Analyze sustainability concerns</t>
  </si>
  <si>
    <t>8.2: Apply sustainable practices</t>
  </si>
  <si>
    <t>9.1: Demonstrate interdisciplinary application of skills</t>
  </si>
  <si>
    <t>9.2: Exhibit project management and leadership</t>
  </si>
  <si>
    <t>1.1.1: Conduct literature review</t>
  </si>
  <si>
    <t>1.1.2: Formulate a research problem</t>
  </si>
  <si>
    <t>1.2.1: Propose a hypothesis</t>
  </si>
  <si>
    <t>1.2.2: Suggest experimental approaches</t>
  </si>
  <si>
    <t>2.2.1: Evaluate the validity of scientific news</t>
  </si>
  <si>
    <t>2.2.2: Assess logical flow in arguments</t>
  </si>
  <si>
    <t>2.1.1: Justify claims using data</t>
  </si>
  <si>
    <t xml:space="preserve">2.1.2: Apply reasoning </t>
  </si>
  <si>
    <t>3.1.1: Identify functional units</t>
  </si>
  <si>
    <t>3.1.2: Interpret system-level interactions</t>
  </si>
  <si>
    <t>3.2.1: Map experimental design to theoretical goals</t>
  </si>
  <si>
    <t>3.2.2: Predict outcomes based on interactions</t>
  </si>
  <si>
    <t>4.1.1: Use visual aids in oral presentations</t>
  </si>
  <si>
    <t>4.1.2: Organize written content with clarity</t>
  </si>
  <si>
    <t>4.2.1: Translate scientific terms for laypeople</t>
  </si>
  <si>
    <t>4.2.2: Prepare infographics or science outreach material</t>
  </si>
  <si>
    <t>5.2.1: Use Excel/SPSS/Bioinformatics tools</t>
  </si>
  <si>
    <t>5.2.2: Validate findings statistically</t>
  </si>
  <si>
    <t>5.1.1: Interpret tabular/graphical results</t>
  </si>
  <si>
    <t>5.1.2: Identify errors or anomalies in output</t>
  </si>
  <si>
    <t>6.1.1: Identify local/global biosocial challenges</t>
  </si>
  <si>
    <t>6.1.2: Connect science to societal improvement</t>
  </si>
  <si>
    <t>6.2.1: Engage in health/environment awareness programs</t>
  </si>
  <si>
    <t>6.2.2: Reflect on outreach experiences</t>
  </si>
  <si>
    <t>7.1.1: Cite sources correctly</t>
  </si>
  <si>
    <t>7.1.2: Avoid plagiarism and misconduct</t>
  </si>
  <si>
    <t>7.2.1: Use ethical frameworks for case analysis</t>
  </si>
  <si>
    <t>7.2.2: Resolve ethical dilemmas in team discussions</t>
  </si>
  <si>
    <t>8.1.1: Describe environmental impact of practices</t>
  </si>
  <si>
    <t>8.1.2: Propose alternatives for conservation</t>
  </si>
  <si>
    <t>8.2.1: Participate in green campus initiatives</t>
  </si>
  <si>
    <t>8.2.2: Suggest eco-friendly lab procedures</t>
  </si>
  <si>
    <t>9.1.1: Integrate biological tools with IT/statistics</t>
  </si>
  <si>
    <t>9.1.2: Apply skills across domains</t>
  </si>
  <si>
    <t>9.2.1: Manage timelines in team projects</t>
  </si>
  <si>
    <t>9.2.2: Delegate tasks effectively</t>
  </si>
  <si>
    <t>1.1.1: Link biology to IT/statistics/environment</t>
  </si>
  <si>
    <t>1.1.2: Compare techniques from allied fields</t>
  </si>
  <si>
    <t>1.2.1: Work on interdisciplinary projects</t>
  </si>
  <si>
    <t>1.2.2: Communicate ideas to experts from other fields</t>
  </si>
  <si>
    <t>2.1.1: Perform ELISA/PCR/Micropropagation</t>
  </si>
  <si>
    <t>2.1.2: Troubleshoot experimental issues</t>
  </si>
  <si>
    <t>2.2.1: Use graphing/statistics software</t>
  </si>
  <si>
    <t>2.2.2: Interpret patterns in large datasets</t>
  </si>
  <si>
    <t>3.1.1: Identify roles in biotech, pharma, and academia</t>
  </si>
  <si>
    <t>3.1.2: Track trends in research careers</t>
  </si>
  <si>
    <t>3.2.1: Prepare CV and SOP for internships</t>
  </si>
  <si>
    <t>3.2.2: Set personal learning goals aligned with aspirations</t>
  </si>
  <si>
    <t>1.1: Understand applications of multiple disciplines</t>
  </si>
  <si>
    <t>1.2: Collaborate across domains</t>
  </si>
  <si>
    <t>2.1: Execute core and advanced lab protocols</t>
  </si>
  <si>
    <t>2.2: Analyze data using various tools</t>
  </si>
  <si>
    <t>3.1: Demonstrate awareness of professional opportunities</t>
  </si>
  <si>
    <t>3.2: Align academic goals with career paths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</si>
</sst>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m/d"/>
    <numFmt numFmtId="173" formatCode="0.0"/>
  </numFmts>
  <fonts count="14" x14ac:knownFonts="1">
    <font>
      <sz val="10"/>
      <color rgb="FF000000"/>
      <name val="Arial"/>
      <scheme val="minor"/>
    </font>
    <font>
      <b/>
      <sz val="10"/>
      <color theme="1"/>
      <name val="Cambria"/>
    </font>
    <font>
      <sz val="10"/>
      <color theme="1"/>
      <name val="Cambria"/>
    </font>
    <font>
      <b/>
      <sz val="10"/>
      <color theme="1"/>
      <name val="Cambria"/>
    </font>
    <font>
      <sz val="10"/>
      <color theme="1"/>
      <name val="Cambria"/>
    </font>
    <font>
      <b/>
      <sz val="10"/>
      <color rgb="FF000000"/>
      <name val="Cambria"/>
    </font>
    <font>
      <sz val="10"/>
      <name val="Arial"/>
    </font>
    <font>
      <sz val="10"/>
      <color rgb="FF000000"/>
      <name val="Cambria"/>
    </font>
    <font>
      <sz val="10"/>
      <color theme="1"/>
      <name val="Arial"/>
      <scheme val="minor"/>
    </font>
    <font>
      <sz val="10"/>
      <color rgb="FF000000"/>
      <name val="Cambria"/>
      <family val="1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164" fontId="4" fillId="0" borderId="1" xfId="0" applyNumberFormat="1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left" vertical="center"/>
    </xf>
    <xf numFmtId="0" fontId="1" fillId="0" borderId="1" xfId="0" applyFont="1" applyBorder="1"/>
    <xf numFmtId="1" fontId="1" fillId="0" borderId="1" xfId="0" applyNumberFormat="1" applyFont="1" applyBorder="1"/>
    <xf numFmtId="0" fontId="1" fillId="0" borderId="0" xfId="0" applyFont="1"/>
    <xf numFmtId="0" fontId="2" fillId="0" borderId="1" xfId="0" applyFont="1" applyBorder="1"/>
    <xf numFmtId="2" fontId="8" fillId="0" borderId="0" xfId="0" applyNumberFormat="1" applyFont="1"/>
    <xf numFmtId="0" fontId="8" fillId="0" borderId="0" xfId="0" applyFont="1"/>
    <xf numFmtId="2" fontId="2" fillId="0" borderId="1" xfId="0" applyNumberFormat="1" applyFont="1" applyBorder="1"/>
    <xf numFmtId="0" fontId="2" fillId="0" borderId="0" xfId="0" applyFont="1"/>
    <xf numFmtId="1" fontId="2" fillId="0" borderId="0" xfId="0" applyNumberFormat="1" applyFont="1"/>
    <xf numFmtId="2" fontId="9" fillId="0" borderId="0" xfId="0" applyNumberFormat="1" applyFont="1"/>
    <xf numFmtId="0" fontId="5" fillId="0" borderId="2" xfId="0" applyFont="1" applyBorder="1" applyAlignment="1">
      <alignment horizontal="left"/>
    </xf>
    <xf numFmtId="0" fontId="6" fillId="0" borderId="2" xfId="0" applyFont="1" applyBorder="1"/>
    <xf numFmtId="0" fontId="6" fillId="0" borderId="3" xfId="0" applyFont="1" applyBorder="1"/>
    <xf numFmtId="0" fontId="3" fillId="0" borderId="0" xfId="0" applyFont="1" applyAlignment="1">
      <alignment horizontal="left" vertical="center"/>
    </xf>
    <xf numFmtId="0" fontId="0" fillId="0" borderId="0" xfId="0"/>
    <xf numFmtId="0" fontId="3" fillId="0" borderId="5" xfId="0" applyFont="1" applyBorder="1" applyAlignment="1">
      <alignment horizontal="left" vertical="center"/>
    </xf>
    <xf numFmtId="0" fontId="6" fillId="0" borderId="4" xfId="0" applyFont="1" applyBorder="1"/>
    <xf numFmtId="0" fontId="3" fillId="0" borderId="6" xfId="0" applyFont="1" applyBorder="1" applyAlignment="1">
      <alignment horizontal="left" vertical="center"/>
    </xf>
    <xf numFmtId="0" fontId="6" fillId="0" borderId="7" xfId="0" applyFont="1" applyBorder="1"/>
    <xf numFmtId="0" fontId="6" fillId="0" borderId="8" xfId="0" applyFont="1" applyBorder="1"/>
    <xf numFmtId="0" fontId="0" fillId="0" borderId="0" xfId="0" applyAlignment="1">
      <alignment wrapText="1"/>
    </xf>
    <xf numFmtId="0" fontId="10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vertical="center" wrapText="1"/>
    </xf>
    <xf numFmtId="0" fontId="11" fillId="0" borderId="9" xfId="0" applyFont="1" applyBorder="1" applyAlignment="1">
      <alignment wrapText="1"/>
    </xf>
    <xf numFmtId="0" fontId="11" fillId="0" borderId="11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173" fontId="4" fillId="0" borderId="0" xfId="0" applyNumberFormat="1" applyFont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160" zoomScaleNormal="160" workbookViewId="0"/>
  </sheetViews>
  <sheetFormatPr defaultColWidth="12.6640625" defaultRowHeight="15.75" customHeight="1" x14ac:dyDescent="0.25"/>
  <cols>
    <col min="1" max="1" width="5.6640625" customWidth="1"/>
    <col min="2" max="2" width="33" customWidth="1"/>
    <col min="3" max="3" width="36.44140625" customWidth="1"/>
    <col min="4" max="4" width="11.44140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4</v>
      </c>
      <c r="B2" s="3" t="s">
        <v>5</v>
      </c>
      <c r="C2" s="3" t="s">
        <v>6</v>
      </c>
      <c r="D2" s="3">
        <v>4.5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3" t="s">
        <v>7</v>
      </c>
      <c r="B3" s="3" t="s">
        <v>8</v>
      </c>
      <c r="C3" s="3" t="s">
        <v>9</v>
      </c>
      <c r="D3" s="3">
        <v>4.5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3" t="s">
        <v>10</v>
      </c>
      <c r="B4" s="3" t="s">
        <v>11</v>
      </c>
      <c r="C4" s="3" t="s">
        <v>12</v>
      </c>
      <c r="D4" s="3">
        <v>4.5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3" t="s">
        <v>13</v>
      </c>
      <c r="B5" s="3" t="s">
        <v>14</v>
      </c>
      <c r="C5" s="3" t="s">
        <v>15</v>
      </c>
      <c r="D5" s="3">
        <v>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3" t="s">
        <v>16</v>
      </c>
      <c r="B6" s="3" t="s">
        <v>17</v>
      </c>
      <c r="C6" s="3" t="s">
        <v>18</v>
      </c>
      <c r="D6" s="3">
        <v>5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3" t="s">
        <v>19</v>
      </c>
      <c r="B7" s="3" t="s">
        <v>20</v>
      </c>
      <c r="C7" s="3" t="s">
        <v>21</v>
      </c>
      <c r="D7" s="3">
        <v>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3" t="s">
        <v>22</v>
      </c>
      <c r="B8" s="3" t="s">
        <v>23</v>
      </c>
      <c r="C8" s="3" t="s">
        <v>24</v>
      </c>
      <c r="D8" s="3">
        <v>5.5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3" t="s">
        <v>25</v>
      </c>
      <c r="B9" s="3" t="s">
        <v>26</v>
      </c>
      <c r="C9" s="3" t="s">
        <v>27</v>
      </c>
      <c r="D9" s="3">
        <v>5.5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3" t="s">
        <v>28</v>
      </c>
      <c r="B10" s="3" t="s">
        <v>29</v>
      </c>
      <c r="C10" s="3" t="s">
        <v>30</v>
      </c>
      <c r="D10" s="3">
        <v>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3" t="s">
        <v>31</v>
      </c>
      <c r="B11" s="3" t="s">
        <v>32</v>
      </c>
      <c r="C11" s="3" t="s">
        <v>33</v>
      </c>
      <c r="D11" s="3">
        <v>6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3" t="s">
        <v>34</v>
      </c>
      <c r="B12" s="3" t="s">
        <v>35</v>
      </c>
      <c r="C12" s="3" t="s">
        <v>36</v>
      </c>
      <c r="D12" s="3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zoomScale="160" zoomScaleNormal="160" workbookViewId="0">
      <selection sqref="A1:XFD1048576"/>
    </sheetView>
  </sheetViews>
  <sheetFormatPr defaultColWidth="12.6640625" defaultRowHeight="15.75" customHeight="1" x14ac:dyDescent="0.25"/>
  <cols>
    <col min="1" max="1" width="7" bestFit="1" customWidth="1"/>
    <col min="2" max="2" width="39.44140625" bestFit="1" customWidth="1"/>
    <col min="3" max="11" width="4.5546875" bestFit="1" customWidth="1"/>
    <col min="12" max="13" width="5.6640625" bestFit="1" customWidth="1"/>
  </cols>
  <sheetData>
    <row r="1" spans="1:26" x14ac:dyDescent="0.25">
      <c r="A1" s="1" t="s">
        <v>37</v>
      </c>
      <c r="B1" s="1" t="s">
        <v>2</v>
      </c>
      <c r="C1" s="1" t="s">
        <v>4</v>
      </c>
      <c r="D1" s="1" t="s">
        <v>7</v>
      </c>
      <c r="E1" s="1" t="s">
        <v>10</v>
      </c>
      <c r="F1" s="1" t="s">
        <v>13</v>
      </c>
      <c r="G1" s="1" t="s">
        <v>16</v>
      </c>
      <c r="H1" s="1" t="s">
        <v>19</v>
      </c>
      <c r="I1" s="1" t="s">
        <v>22</v>
      </c>
      <c r="J1" s="1" t="s">
        <v>25</v>
      </c>
      <c r="K1" s="1" t="s">
        <v>28</v>
      </c>
      <c r="L1" s="1" t="s">
        <v>31</v>
      </c>
      <c r="M1" s="1" t="s">
        <v>34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38</v>
      </c>
      <c r="B2" s="3" t="s">
        <v>39</v>
      </c>
      <c r="C2" s="3">
        <v>3</v>
      </c>
      <c r="D2" s="3">
        <v>3</v>
      </c>
      <c r="E2" s="3">
        <v>2</v>
      </c>
      <c r="F2" s="3">
        <v>2</v>
      </c>
      <c r="G2" s="3">
        <v>0</v>
      </c>
      <c r="H2" s="3">
        <v>1</v>
      </c>
      <c r="I2" s="3">
        <v>1</v>
      </c>
      <c r="J2" s="3">
        <v>0</v>
      </c>
      <c r="K2" s="3">
        <v>0</v>
      </c>
      <c r="L2" s="3">
        <v>0</v>
      </c>
      <c r="M2" s="3">
        <v>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3" t="s">
        <v>40</v>
      </c>
      <c r="B3" s="3" t="s">
        <v>41</v>
      </c>
      <c r="C3" s="3">
        <v>2</v>
      </c>
      <c r="D3" s="3">
        <v>2</v>
      </c>
      <c r="E3" s="3">
        <v>3</v>
      </c>
      <c r="F3" s="3">
        <v>1</v>
      </c>
      <c r="G3" s="3">
        <v>0</v>
      </c>
      <c r="H3" s="3">
        <v>0</v>
      </c>
      <c r="I3" s="3">
        <v>2</v>
      </c>
      <c r="J3" s="3">
        <v>0</v>
      </c>
      <c r="K3" s="3">
        <v>3</v>
      </c>
      <c r="L3" s="3">
        <v>0</v>
      </c>
      <c r="M3" s="3">
        <v>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3" t="s">
        <v>42</v>
      </c>
      <c r="B4" s="3" t="s">
        <v>43</v>
      </c>
      <c r="C4" s="3">
        <v>1</v>
      </c>
      <c r="D4" s="3">
        <v>1</v>
      </c>
      <c r="E4" s="3">
        <v>2</v>
      </c>
      <c r="F4" s="3">
        <v>3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3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3" t="s">
        <v>44</v>
      </c>
      <c r="B5" s="3" t="s">
        <v>45</v>
      </c>
      <c r="C5" s="3">
        <v>0</v>
      </c>
      <c r="D5" s="3">
        <v>0</v>
      </c>
      <c r="E5" s="3">
        <v>0</v>
      </c>
      <c r="F5" s="3">
        <v>0</v>
      </c>
      <c r="G5" s="3">
        <v>1</v>
      </c>
      <c r="H5" s="3">
        <v>2</v>
      </c>
      <c r="I5" s="3">
        <v>0</v>
      </c>
      <c r="J5" s="3">
        <v>3</v>
      </c>
      <c r="K5" s="3">
        <v>0</v>
      </c>
      <c r="L5" s="3">
        <v>2</v>
      </c>
      <c r="M5" s="3"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3" t="s">
        <v>46</v>
      </c>
      <c r="B6" s="3" t="s">
        <v>47</v>
      </c>
      <c r="C6" s="3">
        <v>0</v>
      </c>
      <c r="D6" s="3">
        <v>0</v>
      </c>
      <c r="E6" s="3">
        <v>1</v>
      </c>
      <c r="F6" s="3">
        <v>1</v>
      </c>
      <c r="G6" s="3">
        <v>2</v>
      </c>
      <c r="H6" s="3">
        <v>1</v>
      </c>
      <c r="I6" s="3">
        <v>3</v>
      </c>
      <c r="J6" s="3">
        <v>0</v>
      </c>
      <c r="K6" s="3">
        <v>2</v>
      </c>
      <c r="L6" s="3">
        <v>1</v>
      </c>
      <c r="M6" s="3">
        <v>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zoomScale="150" zoomScaleNormal="150" workbookViewId="0">
      <selection activeCell="C2" sqref="C2:C13"/>
    </sheetView>
  </sheetViews>
  <sheetFormatPr defaultColWidth="12.6640625" defaultRowHeight="15.75" customHeight="1" x14ac:dyDescent="0.25"/>
  <cols>
    <col min="1" max="1" width="5.88671875" bestFit="1" customWidth="1"/>
    <col min="2" max="2" width="40.44140625" bestFit="1" customWidth="1"/>
    <col min="3" max="3" width="9.88671875" bestFit="1" customWidth="1"/>
    <col min="4" max="8" width="5.6640625" bestFit="1" customWidth="1"/>
  </cols>
  <sheetData>
    <row r="1" spans="1:26" x14ac:dyDescent="0.25">
      <c r="A1" s="1" t="s">
        <v>48</v>
      </c>
      <c r="B1" s="1" t="s">
        <v>2</v>
      </c>
      <c r="C1" s="1" t="s">
        <v>49</v>
      </c>
      <c r="D1" s="1" t="s">
        <v>38</v>
      </c>
      <c r="E1" s="1" t="s">
        <v>40</v>
      </c>
      <c r="F1" s="1" t="s">
        <v>42</v>
      </c>
      <c r="G1" s="1" t="s">
        <v>44</v>
      </c>
      <c r="H1" s="1" t="s">
        <v>46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50</v>
      </c>
      <c r="B2" s="3" t="s">
        <v>51</v>
      </c>
      <c r="C2" s="3" t="s">
        <v>52</v>
      </c>
      <c r="D2" s="3">
        <v>3</v>
      </c>
      <c r="E2" s="3">
        <v>1</v>
      </c>
      <c r="F2" s="3">
        <v>2</v>
      </c>
      <c r="G2" s="3">
        <v>0</v>
      </c>
      <c r="H2" s="3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3" t="s">
        <v>53</v>
      </c>
      <c r="B3" s="3" t="s">
        <v>54</v>
      </c>
      <c r="C3" s="3" t="s">
        <v>52</v>
      </c>
      <c r="D3" s="3">
        <v>3</v>
      </c>
      <c r="E3" s="3">
        <v>2</v>
      </c>
      <c r="F3" s="3">
        <v>1</v>
      </c>
      <c r="G3" s="3">
        <v>0</v>
      </c>
      <c r="H3" s="3">
        <v>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3" t="s">
        <v>55</v>
      </c>
      <c r="B4" s="3" t="s">
        <v>56</v>
      </c>
      <c r="C4" s="3" t="s">
        <v>57</v>
      </c>
      <c r="D4" s="3">
        <v>2</v>
      </c>
      <c r="E4" s="3">
        <v>1</v>
      </c>
      <c r="F4" s="3">
        <v>3</v>
      </c>
      <c r="G4" s="3">
        <v>0</v>
      </c>
      <c r="H4" s="3">
        <v>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3" t="s">
        <v>58</v>
      </c>
      <c r="B5" s="3" t="s">
        <v>59</v>
      </c>
      <c r="C5" s="3" t="s">
        <v>57</v>
      </c>
      <c r="D5" s="3">
        <v>0</v>
      </c>
      <c r="E5" s="3">
        <v>1</v>
      </c>
      <c r="F5" s="3">
        <v>0</v>
      </c>
      <c r="G5" s="3">
        <v>2</v>
      </c>
      <c r="H5" s="3">
        <v>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3" t="s">
        <v>60</v>
      </c>
      <c r="B6" s="3" t="s">
        <v>61</v>
      </c>
      <c r="C6" s="3" t="s">
        <v>52</v>
      </c>
      <c r="D6" s="3">
        <v>2</v>
      </c>
      <c r="E6" s="3">
        <v>2</v>
      </c>
      <c r="F6" s="3">
        <v>2</v>
      </c>
      <c r="G6" s="3">
        <v>0</v>
      </c>
      <c r="H6" s="3">
        <v>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3" t="s">
        <v>62</v>
      </c>
      <c r="B7" s="3" t="s">
        <v>63</v>
      </c>
      <c r="C7" s="3" t="s">
        <v>64</v>
      </c>
      <c r="D7" s="3">
        <v>0</v>
      </c>
      <c r="E7" s="3">
        <v>0</v>
      </c>
      <c r="F7" s="3">
        <v>1</v>
      </c>
      <c r="G7" s="3">
        <v>3</v>
      </c>
      <c r="H7" s="3">
        <v>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3" t="s">
        <v>65</v>
      </c>
      <c r="B8" s="3" t="s">
        <v>66</v>
      </c>
      <c r="C8" s="3" t="s">
        <v>64</v>
      </c>
      <c r="D8" s="3">
        <v>0</v>
      </c>
      <c r="E8" s="3">
        <v>0</v>
      </c>
      <c r="F8" s="3">
        <v>0</v>
      </c>
      <c r="G8" s="3">
        <v>3</v>
      </c>
      <c r="H8" s="3">
        <v>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3" t="s">
        <v>67</v>
      </c>
      <c r="B9" s="3" t="s">
        <v>68</v>
      </c>
      <c r="C9" s="3" t="s">
        <v>64</v>
      </c>
      <c r="D9" s="3">
        <v>0</v>
      </c>
      <c r="E9" s="3">
        <v>0</v>
      </c>
      <c r="F9" s="3">
        <v>1</v>
      </c>
      <c r="G9" s="3">
        <v>2</v>
      </c>
      <c r="H9" s="3">
        <v>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3" t="s">
        <v>69</v>
      </c>
      <c r="B10" s="3" t="s">
        <v>70</v>
      </c>
      <c r="C10" s="3" t="s">
        <v>57</v>
      </c>
      <c r="D10" s="3">
        <v>0</v>
      </c>
      <c r="E10" s="3">
        <v>2</v>
      </c>
      <c r="F10" s="3">
        <v>0</v>
      </c>
      <c r="G10" s="3">
        <v>0</v>
      </c>
      <c r="H10" s="3">
        <v>3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3" t="s">
        <v>71</v>
      </c>
      <c r="B11" s="3" t="s">
        <v>72</v>
      </c>
      <c r="C11" s="3" t="s">
        <v>57</v>
      </c>
      <c r="D11" s="3">
        <v>2</v>
      </c>
      <c r="E11" s="3">
        <v>1</v>
      </c>
      <c r="F11" s="3">
        <v>2</v>
      </c>
      <c r="G11" s="3">
        <v>0</v>
      </c>
      <c r="H11" s="3"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3" t="s">
        <v>73</v>
      </c>
      <c r="B12" s="3" t="s">
        <v>74</v>
      </c>
      <c r="C12" s="3" t="s">
        <v>57</v>
      </c>
      <c r="D12" s="3">
        <v>0</v>
      </c>
      <c r="E12" s="3">
        <v>2</v>
      </c>
      <c r="F12" s="3">
        <v>1</v>
      </c>
      <c r="G12" s="3">
        <v>0</v>
      </c>
      <c r="H12" s="3">
        <v>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3" t="s">
        <v>75</v>
      </c>
      <c r="B13" s="3" t="s">
        <v>76</v>
      </c>
      <c r="C13" s="3" t="s">
        <v>52</v>
      </c>
      <c r="D13" s="3">
        <v>0</v>
      </c>
      <c r="E13" s="3">
        <v>1</v>
      </c>
      <c r="F13" s="3">
        <v>0</v>
      </c>
      <c r="G13" s="3">
        <v>0</v>
      </c>
      <c r="H13" s="3">
        <v>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zoomScale="140" zoomScaleNormal="140" workbookViewId="0">
      <selection activeCell="C1" sqref="C1:D5"/>
    </sheetView>
  </sheetViews>
  <sheetFormatPr defaultColWidth="12.6640625" defaultRowHeight="15.75" customHeight="1" x14ac:dyDescent="0.25"/>
  <cols>
    <col min="1" max="1" width="5.88671875" bestFit="1" customWidth="1"/>
    <col min="2" max="2" width="71.77734375" bestFit="1" customWidth="1"/>
    <col min="3" max="3" width="9.88671875" bestFit="1" customWidth="1"/>
    <col min="4" max="4" width="9.5546875" bestFit="1" customWidth="1"/>
    <col min="5" max="13" width="4.5546875" bestFit="1" customWidth="1"/>
    <col min="14" max="16" width="5.5546875" bestFit="1" customWidth="1"/>
  </cols>
  <sheetData>
    <row r="1" spans="1:25" x14ac:dyDescent="0.25">
      <c r="A1" s="5" t="s">
        <v>78</v>
      </c>
      <c r="B1" s="5" t="s">
        <v>79</v>
      </c>
      <c r="C1" s="5" t="s">
        <v>49</v>
      </c>
      <c r="D1" s="5" t="s">
        <v>80</v>
      </c>
      <c r="E1" s="5" t="s">
        <v>50</v>
      </c>
      <c r="F1" s="5" t="s">
        <v>53</v>
      </c>
      <c r="G1" s="5" t="s">
        <v>55</v>
      </c>
      <c r="H1" s="5" t="s">
        <v>58</v>
      </c>
      <c r="I1" s="5" t="s">
        <v>60</v>
      </c>
      <c r="J1" s="5" t="s">
        <v>62</v>
      </c>
      <c r="K1" s="5" t="s">
        <v>65</v>
      </c>
      <c r="L1" s="5" t="s">
        <v>67</v>
      </c>
      <c r="M1" s="5" t="s">
        <v>69</v>
      </c>
      <c r="N1" s="5" t="s">
        <v>71</v>
      </c>
      <c r="O1" s="5" t="s">
        <v>73</v>
      </c>
      <c r="P1" s="5" t="s">
        <v>75</v>
      </c>
      <c r="Q1" s="6"/>
      <c r="R1" s="6"/>
      <c r="S1" s="6"/>
      <c r="T1" s="6"/>
      <c r="U1" s="6"/>
      <c r="V1" s="6"/>
      <c r="W1" s="6"/>
      <c r="X1" s="6"/>
      <c r="Y1" s="6"/>
    </row>
    <row r="2" spans="1:25" x14ac:dyDescent="0.25">
      <c r="A2" s="7" t="s">
        <v>81</v>
      </c>
      <c r="B2" s="8" t="s">
        <v>82</v>
      </c>
      <c r="C2" s="7" t="s">
        <v>52</v>
      </c>
      <c r="D2" s="7" t="s">
        <v>83</v>
      </c>
      <c r="E2" s="7">
        <v>3</v>
      </c>
      <c r="F2" s="7">
        <v>2</v>
      </c>
      <c r="G2" s="7">
        <v>0</v>
      </c>
      <c r="H2" s="7">
        <v>1</v>
      </c>
      <c r="I2" s="7">
        <v>1</v>
      </c>
      <c r="J2" s="7">
        <v>0</v>
      </c>
      <c r="K2" s="7">
        <v>0</v>
      </c>
      <c r="L2" s="7">
        <v>0</v>
      </c>
      <c r="M2" s="7">
        <v>0</v>
      </c>
      <c r="N2" s="7">
        <v>2</v>
      </c>
      <c r="O2" s="7">
        <v>0</v>
      </c>
      <c r="P2" s="7">
        <v>0</v>
      </c>
      <c r="Q2" s="9"/>
      <c r="R2" s="9"/>
      <c r="S2" s="9"/>
      <c r="T2" s="9"/>
      <c r="U2" s="9"/>
      <c r="V2" s="9"/>
      <c r="W2" s="9"/>
      <c r="X2" s="9"/>
      <c r="Y2" s="9"/>
    </row>
    <row r="3" spans="1:25" x14ac:dyDescent="0.25">
      <c r="A3" s="7" t="s">
        <v>84</v>
      </c>
      <c r="B3" s="8" t="s">
        <v>85</v>
      </c>
      <c r="C3" s="7" t="s">
        <v>52</v>
      </c>
      <c r="D3" s="7" t="s">
        <v>86</v>
      </c>
      <c r="E3" s="7">
        <v>2</v>
      </c>
      <c r="F3" s="7">
        <v>1</v>
      </c>
      <c r="G3" s="7">
        <v>3</v>
      </c>
      <c r="H3" s="7">
        <v>0</v>
      </c>
      <c r="I3" s="7">
        <v>2</v>
      </c>
      <c r="J3" s="7">
        <v>0</v>
      </c>
      <c r="K3" s="7">
        <v>0</v>
      </c>
      <c r="L3" s="7">
        <v>0</v>
      </c>
      <c r="M3" s="7">
        <v>0</v>
      </c>
      <c r="N3" s="7">
        <v>1</v>
      </c>
      <c r="O3" s="7">
        <v>1</v>
      </c>
      <c r="P3" s="7">
        <v>0</v>
      </c>
      <c r="Q3" s="9"/>
      <c r="R3" s="9"/>
      <c r="S3" s="9"/>
      <c r="T3" s="9"/>
      <c r="U3" s="9"/>
      <c r="V3" s="9"/>
      <c r="W3" s="9"/>
      <c r="X3" s="9"/>
      <c r="Y3" s="9"/>
    </row>
    <row r="4" spans="1:25" x14ac:dyDescent="0.25">
      <c r="A4" s="7" t="s">
        <v>87</v>
      </c>
      <c r="B4" s="8" t="s">
        <v>88</v>
      </c>
      <c r="C4" s="7" t="s">
        <v>57</v>
      </c>
      <c r="D4" s="7" t="s">
        <v>89</v>
      </c>
      <c r="E4" s="7">
        <v>0</v>
      </c>
      <c r="F4" s="7">
        <v>0</v>
      </c>
      <c r="G4" s="7">
        <v>1</v>
      </c>
      <c r="H4" s="7">
        <v>1</v>
      </c>
      <c r="I4" s="7">
        <v>0</v>
      </c>
      <c r="J4" s="7">
        <v>0</v>
      </c>
      <c r="K4" s="7">
        <v>0</v>
      </c>
      <c r="L4" s="7">
        <v>1</v>
      </c>
      <c r="M4" s="7">
        <v>2</v>
      </c>
      <c r="N4" s="7">
        <v>2</v>
      </c>
      <c r="O4" s="7">
        <v>2</v>
      </c>
      <c r="P4" s="7">
        <v>1</v>
      </c>
      <c r="Q4" s="9"/>
      <c r="R4" s="9"/>
      <c r="S4" s="9"/>
      <c r="T4" s="9"/>
      <c r="U4" s="9"/>
      <c r="V4" s="9"/>
      <c r="W4" s="9"/>
      <c r="X4" s="9"/>
      <c r="Y4" s="9"/>
    </row>
    <row r="5" spans="1:25" x14ac:dyDescent="0.25">
      <c r="A5" s="7" t="s">
        <v>90</v>
      </c>
      <c r="B5" s="8" t="s">
        <v>91</v>
      </c>
      <c r="C5" s="7" t="s">
        <v>57</v>
      </c>
      <c r="D5" s="7" t="s">
        <v>89</v>
      </c>
      <c r="E5" s="7">
        <v>0</v>
      </c>
      <c r="F5" s="7">
        <v>0</v>
      </c>
      <c r="G5" s="7">
        <v>0</v>
      </c>
      <c r="H5" s="7">
        <v>2</v>
      </c>
      <c r="I5" s="7">
        <v>0</v>
      </c>
      <c r="J5" s="7">
        <v>1</v>
      </c>
      <c r="K5" s="7">
        <v>1</v>
      </c>
      <c r="L5" s="7">
        <v>1</v>
      </c>
      <c r="M5" s="7">
        <v>2</v>
      </c>
      <c r="N5" s="7">
        <v>1</v>
      </c>
      <c r="O5" s="7">
        <v>3</v>
      </c>
      <c r="P5" s="7">
        <v>2</v>
      </c>
      <c r="Q5" s="9"/>
      <c r="R5" s="9"/>
      <c r="S5" s="9"/>
      <c r="T5" s="9"/>
      <c r="U5" s="9"/>
      <c r="V5" s="9"/>
      <c r="W5" s="9"/>
      <c r="X5" s="9"/>
      <c r="Y5" s="9"/>
    </row>
    <row r="6" spans="1:2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5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spans="1:25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spans="1:25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spans="1:25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spans="1:25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spans="1:25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spans="1:25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zoomScale="189" zoomScaleNormal="189" workbookViewId="0">
      <selection activeCell="H9" sqref="H9"/>
    </sheetView>
  </sheetViews>
  <sheetFormatPr defaultColWidth="12.6640625" defaultRowHeight="15.75" customHeight="1" x14ac:dyDescent="0.25"/>
  <cols>
    <col min="1" max="1" width="18.33203125" bestFit="1" customWidth="1"/>
    <col min="2" max="2" width="10.44140625" bestFit="1" customWidth="1"/>
    <col min="3" max="3" width="7" bestFit="1" customWidth="1"/>
    <col min="4" max="4" width="9.6640625" bestFit="1" customWidth="1"/>
    <col min="5" max="6" width="6.33203125" bestFit="1" customWidth="1"/>
    <col min="7" max="7" width="14" bestFit="1" customWidth="1"/>
    <col min="8" max="8" width="7.33203125" bestFit="1" customWidth="1"/>
    <col min="9" max="9" width="6" bestFit="1" customWidth="1"/>
  </cols>
  <sheetData>
    <row r="1" spans="1:25" x14ac:dyDescent="0.25">
      <c r="A1" s="5" t="s">
        <v>92</v>
      </c>
      <c r="B1" s="5" t="s">
        <v>93</v>
      </c>
      <c r="C1" s="5" t="s">
        <v>81</v>
      </c>
      <c r="D1" s="5" t="s">
        <v>84</v>
      </c>
      <c r="E1" s="5" t="s">
        <v>87</v>
      </c>
      <c r="F1" s="5" t="s">
        <v>90</v>
      </c>
      <c r="G1" s="5" t="s">
        <v>94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5">
      <c r="A2" s="5" t="s">
        <v>95</v>
      </c>
      <c r="B2" s="7">
        <v>5</v>
      </c>
      <c r="C2" s="7">
        <v>0.25</v>
      </c>
      <c r="D2" s="7">
        <v>0.25</v>
      </c>
      <c r="E2" s="7">
        <v>0.25</v>
      </c>
      <c r="F2" s="7">
        <v>0.25</v>
      </c>
      <c r="G2" s="7">
        <v>65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x14ac:dyDescent="0.25">
      <c r="A3" s="5" t="s">
        <v>96</v>
      </c>
      <c r="B3" s="7">
        <v>5</v>
      </c>
      <c r="C3" s="7">
        <v>0.25</v>
      </c>
      <c r="D3" s="7">
        <v>0.25</v>
      </c>
      <c r="E3" s="7">
        <v>0.25</v>
      </c>
      <c r="F3" s="7">
        <v>0.25</v>
      </c>
      <c r="G3" s="7">
        <v>65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x14ac:dyDescent="0.25">
      <c r="A4" s="5" t="s">
        <v>97</v>
      </c>
      <c r="B4" s="7">
        <v>10</v>
      </c>
      <c r="C4" s="7">
        <v>0.35</v>
      </c>
      <c r="D4" s="7">
        <v>0.35</v>
      </c>
      <c r="E4" s="7">
        <v>0.15</v>
      </c>
      <c r="F4" s="7">
        <v>0.15</v>
      </c>
      <c r="G4" s="7">
        <v>65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x14ac:dyDescent="0.25">
      <c r="A5" s="5" t="s">
        <v>98</v>
      </c>
      <c r="B5" s="7">
        <v>15</v>
      </c>
      <c r="C5" s="7">
        <v>0.1</v>
      </c>
      <c r="D5" s="7">
        <v>0.5</v>
      </c>
      <c r="E5" s="7">
        <v>0.2</v>
      </c>
      <c r="F5" s="7">
        <v>0.2</v>
      </c>
      <c r="G5" s="7">
        <v>65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x14ac:dyDescent="0.25">
      <c r="A6" s="5" t="s">
        <v>99</v>
      </c>
      <c r="B6" s="7">
        <v>15</v>
      </c>
      <c r="C6" s="7">
        <v>0.35</v>
      </c>
      <c r="D6" s="7">
        <v>0.35</v>
      </c>
      <c r="E6" s="7">
        <v>0.15</v>
      </c>
      <c r="F6" s="7">
        <v>0.15</v>
      </c>
      <c r="G6" s="7">
        <v>65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x14ac:dyDescent="0.25">
      <c r="A7" s="5" t="s">
        <v>100</v>
      </c>
      <c r="B7" s="7">
        <v>50</v>
      </c>
      <c r="C7" s="7">
        <v>0.35</v>
      </c>
      <c r="D7" s="7">
        <v>0.35</v>
      </c>
      <c r="E7" s="7">
        <v>0.15</v>
      </c>
      <c r="F7" s="7">
        <v>0.15</v>
      </c>
      <c r="G7" s="7">
        <v>65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x14ac:dyDescent="0.25">
      <c r="A8" s="5" t="s">
        <v>101</v>
      </c>
      <c r="B8" s="7"/>
      <c r="C8" s="7">
        <f>(B2*C2) + (B3*C3) + (B4*C4) + (B5*C5) + (B6*C6)</f>
        <v>12.75</v>
      </c>
      <c r="D8" s="7">
        <f>(B2*D2) + (B3*D3) + (B4*D4) + (B5*D5) + (B6*D6)</f>
        <v>18.75</v>
      </c>
      <c r="E8" s="7">
        <f>(B2*E2) + (B3*E3) + (B4*E4) + (B5*E5) + (B6*E6)</f>
        <v>9.25</v>
      </c>
      <c r="F8" s="7">
        <f>(B2*F2) + (B3*F3) + (B4*F4) + (B5*F5) + (B6*F6)</f>
        <v>9.25</v>
      </c>
      <c r="G8" s="7"/>
      <c r="H8" s="9">
        <f t="shared" ref="H8:H9" si="0">SUM(C8:F8)</f>
        <v>50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x14ac:dyDescent="0.25">
      <c r="A9" s="5" t="s">
        <v>102</v>
      </c>
      <c r="B9" s="7"/>
      <c r="C9" s="10">
        <f t="shared" ref="C9:F9" si="1">C8*$G$7/100</f>
        <v>8.2874999999999996</v>
      </c>
      <c r="D9" s="11">
        <f t="shared" si="1"/>
        <v>12.1875</v>
      </c>
      <c r="E9" s="10">
        <f t="shared" si="1"/>
        <v>6.0125000000000002</v>
      </c>
      <c r="F9" s="10">
        <f t="shared" si="1"/>
        <v>6.0125000000000002</v>
      </c>
      <c r="G9" s="7"/>
      <c r="H9" s="63">
        <f t="shared" si="0"/>
        <v>32.5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x14ac:dyDescent="0.25">
      <c r="A10" s="5"/>
      <c r="B10" s="7"/>
      <c r="C10" s="7"/>
      <c r="D10" s="7"/>
      <c r="E10" s="7"/>
      <c r="F10" s="7"/>
      <c r="G10" s="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x14ac:dyDescent="0.25">
      <c r="A11" s="5" t="s">
        <v>103</v>
      </c>
      <c r="B11" s="7"/>
      <c r="C11" s="7">
        <f>C8*0.9</f>
        <v>11.475</v>
      </c>
      <c r="D11" s="7">
        <f>D8*0.7</f>
        <v>13.125</v>
      </c>
      <c r="E11" s="7">
        <f t="shared" ref="E11:F11" si="2">E8*0.4</f>
        <v>3.7</v>
      </c>
      <c r="F11" s="7">
        <f t="shared" si="2"/>
        <v>3.7</v>
      </c>
      <c r="G11" s="7"/>
      <c r="H11" s="9">
        <f t="shared" ref="H11:H13" si="3">SUM(C11:F11)</f>
        <v>32</v>
      </c>
      <c r="I11" s="9">
        <f>H11*G7/100</f>
        <v>20.8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x14ac:dyDescent="0.25">
      <c r="A12" s="5" t="s">
        <v>104</v>
      </c>
      <c r="B12" s="7"/>
      <c r="C12" s="7">
        <f>0.05*C8</f>
        <v>0.63750000000000007</v>
      </c>
      <c r="D12" s="7">
        <f>D8*0.15</f>
        <v>2.8125</v>
      </c>
      <c r="E12" s="7">
        <f t="shared" ref="E12:F12" si="4">E8*0.5</f>
        <v>4.625</v>
      </c>
      <c r="F12" s="7">
        <f t="shared" si="4"/>
        <v>4.625</v>
      </c>
      <c r="G12" s="7"/>
      <c r="H12" s="9">
        <f t="shared" si="3"/>
        <v>12.7</v>
      </c>
      <c r="I12" s="9">
        <f t="shared" ref="I12:I13" si="5">H12*$G$7/100</f>
        <v>8.2550000000000008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x14ac:dyDescent="0.25">
      <c r="A13" s="5" t="s">
        <v>105</v>
      </c>
      <c r="B13" s="11"/>
      <c r="C13" s="7">
        <f>0.05*C8</f>
        <v>0.63750000000000007</v>
      </c>
      <c r="D13" s="7">
        <f>D8*0.15</f>
        <v>2.8125</v>
      </c>
      <c r="E13" s="7">
        <f t="shared" ref="E13:F13" si="6">E8*0.1</f>
        <v>0.92500000000000004</v>
      </c>
      <c r="F13" s="7">
        <f t="shared" si="6"/>
        <v>0.92500000000000004</v>
      </c>
      <c r="G13" s="7"/>
      <c r="H13" s="9">
        <f t="shared" si="3"/>
        <v>5.3</v>
      </c>
      <c r="I13" s="9">
        <f t="shared" si="5"/>
        <v>3.4449999999999998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x14ac:dyDescent="0.25">
      <c r="A14" s="6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x14ac:dyDescent="0.25">
      <c r="A15" s="6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x14ac:dyDescent="0.25">
      <c r="A16" s="6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x14ac:dyDescent="0.25">
      <c r="A17" s="6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x14ac:dyDescent="0.25">
      <c r="A18" s="6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x14ac:dyDescent="0.25">
      <c r="A19" s="6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x14ac:dyDescent="0.25">
      <c r="A20" s="6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x14ac:dyDescent="0.25">
      <c r="A21" s="6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x14ac:dyDescent="0.25">
      <c r="A22" s="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x14ac:dyDescent="0.25">
      <c r="A23" s="6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x14ac:dyDescent="0.25">
      <c r="A24" s="6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x14ac:dyDescent="0.25">
      <c r="A25" s="6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x14ac:dyDescent="0.25">
      <c r="A26" s="6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x14ac:dyDescent="0.25">
      <c r="A27" s="6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x14ac:dyDescent="0.25">
      <c r="A28" s="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x14ac:dyDescent="0.25">
      <c r="A29" s="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x14ac:dyDescent="0.25">
      <c r="A30" s="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x14ac:dyDescent="0.25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5">
      <c r="A32" s="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x14ac:dyDescent="0.25">
      <c r="A33" s="6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x14ac:dyDescent="0.25">
      <c r="A34" s="6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x14ac:dyDescent="0.25">
      <c r="A35" s="6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x14ac:dyDescent="0.25">
      <c r="A36" s="6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x14ac:dyDescent="0.25">
      <c r="A37" s="6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x14ac:dyDescent="0.25">
      <c r="A38" s="6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x14ac:dyDescent="0.25">
      <c r="A39" s="6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x14ac:dyDescent="0.25">
      <c r="A40" s="6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x14ac:dyDescent="0.25">
      <c r="A41" s="6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x14ac:dyDescent="0.25">
      <c r="A42" s="6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x14ac:dyDescent="0.25">
      <c r="A43" s="6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x14ac:dyDescent="0.25">
      <c r="A44" s="6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x14ac:dyDescent="0.25">
      <c r="A45" s="6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x14ac:dyDescent="0.25">
      <c r="A46" s="6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x14ac:dyDescent="0.25">
      <c r="A47" s="6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x14ac:dyDescent="0.25">
      <c r="A48" s="6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x14ac:dyDescent="0.25">
      <c r="A49" s="6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x14ac:dyDescent="0.25">
      <c r="A50" s="6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x14ac:dyDescent="0.25">
      <c r="A51" s="6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 x14ac:dyDescent="0.25">
      <c r="A52" s="6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x14ac:dyDescent="0.25">
      <c r="A53" s="6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x14ac:dyDescent="0.25">
      <c r="A54" s="6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x14ac:dyDescent="0.25">
      <c r="A55" s="6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x14ac:dyDescent="0.25">
      <c r="A56" s="6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x14ac:dyDescent="0.25">
      <c r="A57" s="6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x14ac:dyDescent="0.25">
      <c r="A58" s="6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x14ac:dyDescent="0.25">
      <c r="A59" s="6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x14ac:dyDescent="0.25">
      <c r="A60" s="6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x14ac:dyDescent="0.25">
      <c r="A61" s="6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x14ac:dyDescent="0.25">
      <c r="A62" s="6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x14ac:dyDescent="0.25">
      <c r="A63" s="6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x14ac:dyDescent="0.25">
      <c r="A64" s="6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x14ac:dyDescent="0.25">
      <c r="A65" s="6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x14ac:dyDescent="0.25">
      <c r="A66" s="6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x14ac:dyDescent="0.25">
      <c r="A67" s="6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x14ac:dyDescent="0.25">
      <c r="A68" s="6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 x14ac:dyDescent="0.25">
      <c r="A69" s="6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 x14ac:dyDescent="0.25">
      <c r="A70" s="6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 x14ac:dyDescent="0.25">
      <c r="A71" s="6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 x14ac:dyDescent="0.25">
      <c r="A72" s="6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 x14ac:dyDescent="0.25">
      <c r="A73" s="6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 x14ac:dyDescent="0.25">
      <c r="A74" s="6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 x14ac:dyDescent="0.25">
      <c r="A75" s="6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 x14ac:dyDescent="0.25">
      <c r="A76" s="6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 x14ac:dyDescent="0.25">
      <c r="A77" s="6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 x14ac:dyDescent="0.25">
      <c r="A78" s="6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 x14ac:dyDescent="0.25">
      <c r="A79" s="6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 x14ac:dyDescent="0.25">
      <c r="A80" s="6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 x14ac:dyDescent="0.25">
      <c r="A81" s="6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x14ac:dyDescent="0.25">
      <c r="A82" s="6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x14ac:dyDescent="0.25">
      <c r="A83" s="6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x14ac:dyDescent="0.25">
      <c r="A84" s="6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x14ac:dyDescent="0.25">
      <c r="A85" s="6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x14ac:dyDescent="0.25">
      <c r="A86" s="6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x14ac:dyDescent="0.25">
      <c r="A87" s="6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x14ac:dyDescent="0.25">
      <c r="A88" s="6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x14ac:dyDescent="0.25">
      <c r="A89" s="6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x14ac:dyDescent="0.25">
      <c r="A90" s="6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x14ac:dyDescent="0.25">
      <c r="A91" s="6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x14ac:dyDescent="0.25">
      <c r="A92" s="6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x14ac:dyDescent="0.25">
      <c r="A93" s="6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x14ac:dyDescent="0.25">
      <c r="A94" s="6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x14ac:dyDescent="0.25">
      <c r="A95" s="6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x14ac:dyDescent="0.25">
      <c r="A96" s="6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x14ac:dyDescent="0.25">
      <c r="A97" s="6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x14ac:dyDescent="0.25">
      <c r="A98" s="6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x14ac:dyDescent="0.25">
      <c r="A99" s="6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x14ac:dyDescent="0.25">
      <c r="A100" s="6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x14ac:dyDescent="0.25">
      <c r="A101" s="6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x14ac:dyDescent="0.25">
      <c r="A102" s="6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x14ac:dyDescent="0.25">
      <c r="A103" s="6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x14ac:dyDescent="0.25">
      <c r="A104" s="6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x14ac:dyDescent="0.25">
      <c r="A105" s="6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x14ac:dyDescent="0.25">
      <c r="A106" s="6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x14ac:dyDescent="0.25">
      <c r="A107" s="6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x14ac:dyDescent="0.25">
      <c r="A108" s="6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x14ac:dyDescent="0.25">
      <c r="A109" s="6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x14ac:dyDescent="0.25">
      <c r="A110" s="6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x14ac:dyDescent="0.25">
      <c r="A111" s="6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x14ac:dyDescent="0.25">
      <c r="A112" s="6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x14ac:dyDescent="0.25">
      <c r="A113" s="6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x14ac:dyDescent="0.25">
      <c r="A114" s="6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x14ac:dyDescent="0.25">
      <c r="A115" s="6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x14ac:dyDescent="0.25">
      <c r="A116" s="6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x14ac:dyDescent="0.25">
      <c r="A117" s="6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x14ac:dyDescent="0.25">
      <c r="A118" s="6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x14ac:dyDescent="0.25">
      <c r="A119" s="6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x14ac:dyDescent="0.25">
      <c r="A120" s="6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x14ac:dyDescent="0.25">
      <c r="A121" s="6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x14ac:dyDescent="0.25">
      <c r="A122" s="6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x14ac:dyDescent="0.25">
      <c r="A123" s="6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x14ac:dyDescent="0.25">
      <c r="A124" s="6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 x14ac:dyDescent="0.25">
      <c r="A125" s="6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 x14ac:dyDescent="0.25">
      <c r="A126" s="6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 x14ac:dyDescent="0.25">
      <c r="A127" s="6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 x14ac:dyDescent="0.25">
      <c r="A128" s="6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 x14ac:dyDescent="0.25">
      <c r="A129" s="6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 x14ac:dyDescent="0.25">
      <c r="A130" s="6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 x14ac:dyDescent="0.25">
      <c r="A131" s="6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 x14ac:dyDescent="0.25">
      <c r="A132" s="6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 x14ac:dyDescent="0.25">
      <c r="A133" s="6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 x14ac:dyDescent="0.25">
      <c r="A134" s="6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 x14ac:dyDescent="0.25">
      <c r="A135" s="6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 x14ac:dyDescent="0.25">
      <c r="A136" s="6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 x14ac:dyDescent="0.25">
      <c r="A137" s="6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 x14ac:dyDescent="0.25">
      <c r="A138" s="6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 x14ac:dyDescent="0.25">
      <c r="A139" s="6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 x14ac:dyDescent="0.25">
      <c r="A140" s="6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spans="1:25" x14ac:dyDescent="0.25">
      <c r="A141" s="6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spans="1:25" x14ac:dyDescent="0.25">
      <c r="A142" s="6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spans="1:25" x14ac:dyDescent="0.25">
      <c r="A143" s="6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spans="1:25" x14ac:dyDescent="0.25">
      <c r="A144" s="6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spans="1:25" x14ac:dyDescent="0.25">
      <c r="A145" s="6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spans="1:25" x14ac:dyDescent="0.25">
      <c r="A146" s="6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spans="1:25" x14ac:dyDescent="0.25">
      <c r="A147" s="6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spans="1:25" x14ac:dyDescent="0.25">
      <c r="A148" s="6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spans="1:25" x14ac:dyDescent="0.25">
      <c r="A149" s="6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spans="1:25" x14ac:dyDescent="0.25">
      <c r="A150" s="6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spans="1:25" x14ac:dyDescent="0.25">
      <c r="A151" s="6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spans="1:25" x14ac:dyDescent="0.25">
      <c r="A152" s="6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spans="1:25" x14ac:dyDescent="0.25">
      <c r="A153" s="6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5" x14ac:dyDescent="0.25">
      <c r="A154" s="6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spans="1:25" x14ac:dyDescent="0.25">
      <c r="A155" s="6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spans="1:25" x14ac:dyDescent="0.25">
      <c r="A156" s="6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spans="1:25" x14ac:dyDescent="0.25">
      <c r="A157" s="6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spans="1:25" x14ac:dyDescent="0.25">
      <c r="A158" s="6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spans="1:25" x14ac:dyDescent="0.25">
      <c r="A159" s="6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spans="1:25" x14ac:dyDescent="0.25">
      <c r="A160" s="6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spans="1:25" x14ac:dyDescent="0.25">
      <c r="A161" s="6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spans="1:25" x14ac:dyDescent="0.25">
      <c r="A162" s="6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spans="1:25" x14ac:dyDescent="0.25">
      <c r="A163" s="6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spans="1:25" x14ac:dyDescent="0.25">
      <c r="A164" s="6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spans="1:25" x14ac:dyDescent="0.25">
      <c r="A165" s="6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spans="1:25" x14ac:dyDescent="0.25">
      <c r="A166" s="6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spans="1:25" x14ac:dyDescent="0.25">
      <c r="A167" s="6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spans="1:25" x14ac:dyDescent="0.25">
      <c r="A168" s="6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spans="1:25" x14ac:dyDescent="0.25">
      <c r="A169" s="6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spans="1:25" x14ac:dyDescent="0.25">
      <c r="A170" s="6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spans="1:25" x14ac:dyDescent="0.25">
      <c r="A171" s="6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spans="1:25" x14ac:dyDescent="0.25">
      <c r="A172" s="6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spans="1:25" x14ac:dyDescent="0.25">
      <c r="A173" s="6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spans="1:25" x14ac:dyDescent="0.25">
      <c r="A174" s="6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spans="1:25" x14ac:dyDescent="0.25">
      <c r="A175" s="6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spans="1:25" x14ac:dyDescent="0.25">
      <c r="A176" s="6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spans="1:25" x14ac:dyDescent="0.25">
      <c r="A177" s="6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spans="1:25" x14ac:dyDescent="0.25">
      <c r="A178" s="6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spans="1:25" x14ac:dyDescent="0.25">
      <c r="A179" s="6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spans="1:25" x14ac:dyDescent="0.25">
      <c r="A180" s="6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spans="1:25" x14ac:dyDescent="0.25">
      <c r="A181" s="6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spans="1:25" x14ac:dyDescent="0.25">
      <c r="A182" s="6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5" x14ac:dyDescent="0.25">
      <c r="A183" s="6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spans="1:25" x14ac:dyDescent="0.25">
      <c r="A184" s="6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spans="1:25" x14ac:dyDescent="0.25">
      <c r="A185" s="6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spans="1:25" x14ac:dyDescent="0.25">
      <c r="A186" s="6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spans="1:25" x14ac:dyDescent="0.25">
      <c r="A187" s="6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spans="1:25" x14ac:dyDescent="0.25">
      <c r="A188" s="6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spans="1:25" x14ac:dyDescent="0.25">
      <c r="A189" s="6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spans="1:25" x14ac:dyDescent="0.25">
      <c r="A190" s="6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spans="1:25" x14ac:dyDescent="0.25">
      <c r="A191" s="6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spans="1:25" x14ac:dyDescent="0.25">
      <c r="A192" s="6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spans="1:25" x14ac:dyDescent="0.25">
      <c r="A193" s="6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spans="1:25" x14ac:dyDescent="0.25">
      <c r="A194" s="6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spans="1:25" x14ac:dyDescent="0.25">
      <c r="A195" s="6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spans="1:25" x14ac:dyDescent="0.25">
      <c r="A196" s="6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spans="1:25" x14ac:dyDescent="0.25">
      <c r="A197" s="6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spans="1:25" x14ac:dyDescent="0.25">
      <c r="A198" s="6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spans="1:25" x14ac:dyDescent="0.25">
      <c r="A199" s="6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spans="1:25" x14ac:dyDescent="0.25">
      <c r="A200" s="6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spans="1:25" x14ac:dyDescent="0.25">
      <c r="A201" s="6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spans="1:25" x14ac:dyDescent="0.25">
      <c r="A202" s="6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spans="1:25" x14ac:dyDescent="0.25">
      <c r="A203" s="6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spans="1:25" x14ac:dyDescent="0.25">
      <c r="A204" s="6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spans="1:25" x14ac:dyDescent="0.25">
      <c r="A205" s="6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spans="1:25" x14ac:dyDescent="0.25">
      <c r="A206" s="6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spans="1:25" x14ac:dyDescent="0.25">
      <c r="A207" s="6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spans="1:25" x14ac:dyDescent="0.25">
      <c r="A208" s="6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spans="1:25" x14ac:dyDescent="0.25">
      <c r="A209" s="6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spans="1:25" x14ac:dyDescent="0.25">
      <c r="A210" s="6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spans="1:25" x14ac:dyDescent="0.25">
      <c r="A211" s="6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spans="1:25" x14ac:dyDescent="0.25">
      <c r="A212" s="6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spans="1:25" x14ac:dyDescent="0.25">
      <c r="A213" s="6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5" x14ac:dyDescent="0.25">
      <c r="A214" s="6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spans="1:25" x14ac:dyDescent="0.25">
      <c r="A215" s="6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spans="1:25" x14ac:dyDescent="0.25">
      <c r="A216" s="6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spans="1:25" x14ac:dyDescent="0.25">
      <c r="A217" s="6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spans="1:25" x14ac:dyDescent="0.25">
      <c r="A218" s="6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spans="1:25" x14ac:dyDescent="0.25">
      <c r="A219" s="6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spans="1:25" x14ac:dyDescent="0.25">
      <c r="A220" s="6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spans="1:25" x14ac:dyDescent="0.25">
      <c r="A221" s="6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x14ac:dyDescent="0.25">
      <c r="A222" s="6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x14ac:dyDescent="0.25">
      <c r="A223" s="6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x14ac:dyDescent="0.25">
      <c r="A224" s="6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x14ac:dyDescent="0.25">
      <c r="A225" s="6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x14ac:dyDescent="0.25">
      <c r="A226" s="6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x14ac:dyDescent="0.25">
      <c r="A227" s="6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x14ac:dyDescent="0.25">
      <c r="A228" s="6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x14ac:dyDescent="0.25">
      <c r="A229" s="6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x14ac:dyDescent="0.25">
      <c r="A230" s="6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x14ac:dyDescent="0.25">
      <c r="A231" s="6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x14ac:dyDescent="0.25">
      <c r="A232" s="6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x14ac:dyDescent="0.25">
      <c r="A233" s="6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x14ac:dyDescent="0.25">
      <c r="A234" s="6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x14ac:dyDescent="0.25">
      <c r="A235" s="6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x14ac:dyDescent="0.25">
      <c r="A236" s="6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x14ac:dyDescent="0.25">
      <c r="A237" s="6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x14ac:dyDescent="0.25">
      <c r="A238" s="6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x14ac:dyDescent="0.25">
      <c r="A239" s="6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x14ac:dyDescent="0.25">
      <c r="A240" s="6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x14ac:dyDescent="0.25">
      <c r="A241" s="6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x14ac:dyDescent="0.25">
      <c r="A242" s="6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x14ac:dyDescent="0.25">
      <c r="A243" s="6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x14ac:dyDescent="0.25">
      <c r="A244" s="6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x14ac:dyDescent="0.25">
      <c r="A245" s="6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x14ac:dyDescent="0.25">
      <c r="A246" s="6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x14ac:dyDescent="0.25">
      <c r="A247" s="6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x14ac:dyDescent="0.25">
      <c r="A248" s="6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x14ac:dyDescent="0.25">
      <c r="A249" s="6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x14ac:dyDescent="0.25">
      <c r="A250" s="6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x14ac:dyDescent="0.25">
      <c r="A251" s="6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x14ac:dyDescent="0.25">
      <c r="A252" s="6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x14ac:dyDescent="0.25">
      <c r="A253" s="6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x14ac:dyDescent="0.25">
      <c r="A254" s="6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x14ac:dyDescent="0.25">
      <c r="A255" s="6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x14ac:dyDescent="0.25">
      <c r="A256" s="6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x14ac:dyDescent="0.25">
      <c r="A257" s="6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x14ac:dyDescent="0.25">
      <c r="A258" s="6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x14ac:dyDescent="0.25">
      <c r="A259" s="6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x14ac:dyDescent="0.25">
      <c r="A260" s="6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x14ac:dyDescent="0.25">
      <c r="A261" s="6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x14ac:dyDescent="0.25">
      <c r="A262" s="6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x14ac:dyDescent="0.25">
      <c r="A263" s="6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x14ac:dyDescent="0.25">
      <c r="A264" s="6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x14ac:dyDescent="0.25">
      <c r="A265" s="6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x14ac:dyDescent="0.25">
      <c r="A266" s="6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x14ac:dyDescent="0.25">
      <c r="A267" s="6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x14ac:dyDescent="0.25">
      <c r="A268" s="6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x14ac:dyDescent="0.25">
      <c r="A269" s="6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x14ac:dyDescent="0.25">
      <c r="A270" s="6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x14ac:dyDescent="0.25">
      <c r="A271" s="6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x14ac:dyDescent="0.25">
      <c r="A272" s="6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x14ac:dyDescent="0.25">
      <c r="A273" s="6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x14ac:dyDescent="0.25">
      <c r="A274" s="6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x14ac:dyDescent="0.25">
      <c r="A275" s="6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x14ac:dyDescent="0.25">
      <c r="A276" s="6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x14ac:dyDescent="0.25">
      <c r="A277" s="6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x14ac:dyDescent="0.25">
      <c r="A278" s="6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x14ac:dyDescent="0.25">
      <c r="A279" s="6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x14ac:dyDescent="0.25">
      <c r="A280" s="6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x14ac:dyDescent="0.25">
      <c r="A281" s="6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x14ac:dyDescent="0.25">
      <c r="A282" s="6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x14ac:dyDescent="0.25">
      <c r="A283" s="6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x14ac:dyDescent="0.25">
      <c r="A284" s="6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x14ac:dyDescent="0.25">
      <c r="A285" s="6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x14ac:dyDescent="0.25">
      <c r="A286" s="6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x14ac:dyDescent="0.25">
      <c r="A287" s="6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x14ac:dyDescent="0.25">
      <c r="A288" s="6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x14ac:dyDescent="0.25">
      <c r="A289" s="6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x14ac:dyDescent="0.25">
      <c r="A290" s="6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x14ac:dyDescent="0.25">
      <c r="A291" s="6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x14ac:dyDescent="0.25">
      <c r="A292" s="6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x14ac:dyDescent="0.25">
      <c r="A293" s="6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x14ac:dyDescent="0.25">
      <c r="A294" s="6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x14ac:dyDescent="0.25">
      <c r="A295" s="6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x14ac:dyDescent="0.25">
      <c r="A296" s="6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x14ac:dyDescent="0.25">
      <c r="A297" s="6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x14ac:dyDescent="0.25">
      <c r="A298" s="6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x14ac:dyDescent="0.25">
      <c r="A299" s="6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x14ac:dyDescent="0.25">
      <c r="A300" s="6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x14ac:dyDescent="0.25">
      <c r="A301" s="6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x14ac:dyDescent="0.25">
      <c r="A302" s="6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x14ac:dyDescent="0.25">
      <c r="A303" s="6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x14ac:dyDescent="0.25">
      <c r="A304" s="6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x14ac:dyDescent="0.25">
      <c r="A305" s="6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x14ac:dyDescent="0.25">
      <c r="A306" s="6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x14ac:dyDescent="0.25">
      <c r="A307" s="6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x14ac:dyDescent="0.25">
      <c r="A308" s="6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x14ac:dyDescent="0.25">
      <c r="A309" s="6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x14ac:dyDescent="0.25">
      <c r="A310" s="6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x14ac:dyDescent="0.25">
      <c r="A311" s="6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x14ac:dyDescent="0.25">
      <c r="A312" s="6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x14ac:dyDescent="0.25">
      <c r="A313" s="6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x14ac:dyDescent="0.25">
      <c r="A314" s="6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x14ac:dyDescent="0.25">
      <c r="A315" s="6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x14ac:dyDescent="0.25">
      <c r="A316" s="6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x14ac:dyDescent="0.25">
      <c r="A317" s="6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x14ac:dyDescent="0.25">
      <c r="A318" s="6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x14ac:dyDescent="0.25">
      <c r="A319" s="6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x14ac:dyDescent="0.25">
      <c r="A320" s="6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x14ac:dyDescent="0.25">
      <c r="A321" s="6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x14ac:dyDescent="0.25">
      <c r="A322" s="6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x14ac:dyDescent="0.25">
      <c r="A323" s="6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x14ac:dyDescent="0.25">
      <c r="A324" s="6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x14ac:dyDescent="0.25">
      <c r="A325" s="6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x14ac:dyDescent="0.25">
      <c r="A326" s="6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x14ac:dyDescent="0.25">
      <c r="A327" s="6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x14ac:dyDescent="0.25">
      <c r="A328" s="6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x14ac:dyDescent="0.25">
      <c r="A329" s="6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x14ac:dyDescent="0.25">
      <c r="A330" s="6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x14ac:dyDescent="0.25">
      <c r="A331" s="6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x14ac:dyDescent="0.25">
      <c r="A332" s="6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x14ac:dyDescent="0.25">
      <c r="A333" s="6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x14ac:dyDescent="0.25">
      <c r="A334" s="6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x14ac:dyDescent="0.25">
      <c r="A335" s="6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x14ac:dyDescent="0.25">
      <c r="A336" s="6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x14ac:dyDescent="0.25">
      <c r="A337" s="6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x14ac:dyDescent="0.25">
      <c r="A338" s="6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x14ac:dyDescent="0.25">
      <c r="A339" s="6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x14ac:dyDescent="0.25">
      <c r="A340" s="6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x14ac:dyDescent="0.25">
      <c r="A341" s="6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x14ac:dyDescent="0.25">
      <c r="A342" s="6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x14ac:dyDescent="0.25">
      <c r="A343" s="6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x14ac:dyDescent="0.25">
      <c r="A344" s="6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x14ac:dyDescent="0.25">
      <c r="A345" s="6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x14ac:dyDescent="0.25">
      <c r="A346" s="6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x14ac:dyDescent="0.25">
      <c r="A347" s="6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x14ac:dyDescent="0.25">
      <c r="A348" s="6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x14ac:dyDescent="0.25">
      <c r="A349" s="6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x14ac:dyDescent="0.25">
      <c r="A350" s="6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x14ac:dyDescent="0.25">
      <c r="A351" s="6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x14ac:dyDescent="0.25">
      <c r="A352" s="6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x14ac:dyDescent="0.25">
      <c r="A353" s="6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x14ac:dyDescent="0.25">
      <c r="A354" s="6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x14ac:dyDescent="0.25">
      <c r="A355" s="6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x14ac:dyDescent="0.25">
      <c r="A356" s="6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x14ac:dyDescent="0.25">
      <c r="A357" s="6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x14ac:dyDescent="0.25">
      <c r="A358" s="6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x14ac:dyDescent="0.25">
      <c r="A359" s="6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x14ac:dyDescent="0.25">
      <c r="A360" s="6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x14ac:dyDescent="0.25">
      <c r="A361" s="6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x14ac:dyDescent="0.25">
      <c r="A362" s="6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x14ac:dyDescent="0.25">
      <c r="A363" s="6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x14ac:dyDescent="0.25">
      <c r="A364" s="6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x14ac:dyDescent="0.25">
      <c r="A365" s="6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x14ac:dyDescent="0.25">
      <c r="A366" s="6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x14ac:dyDescent="0.25">
      <c r="A367" s="6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x14ac:dyDescent="0.25">
      <c r="A368" s="6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x14ac:dyDescent="0.25">
      <c r="A369" s="6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x14ac:dyDescent="0.25">
      <c r="A370" s="6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x14ac:dyDescent="0.25">
      <c r="A371" s="6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x14ac:dyDescent="0.25">
      <c r="A372" s="6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x14ac:dyDescent="0.25">
      <c r="A373" s="6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x14ac:dyDescent="0.25">
      <c r="A374" s="6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x14ac:dyDescent="0.25">
      <c r="A375" s="6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x14ac:dyDescent="0.25">
      <c r="A376" s="6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x14ac:dyDescent="0.25">
      <c r="A377" s="6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x14ac:dyDescent="0.25">
      <c r="A378" s="6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x14ac:dyDescent="0.25">
      <c r="A379" s="6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x14ac:dyDescent="0.25">
      <c r="A380" s="6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x14ac:dyDescent="0.25">
      <c r="A381" s="6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x14ac:dyDescent="0.25">
      <c r="A382" s="6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x14ac:dyDescent="0.25">
      <c r="A383" s="6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x14ac:dyDescent="0.25">
      <c r="A384" s="6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x14ac:dyDescent="0.25">
      <c r="A385" s="6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x14ac:dyDescent="0.25">
      <c r="A386" s="6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x14ac:dyDescent="0.25">
      <c r="A387" s="6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x14ac:dyDescent="0.25">
      <c r="A388" s="6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x14ac:dyDescent="0.25">
      <c r="A389" s="6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x14ac:dyDescent="0.25">
      <c r="A390" s="6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x14ac:dyDescent="0.25">
      <c r="A391" s="6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x14ac:dyDescent="0.25">
      <c r="A392" s="6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x14ac:dyDescent="0.25">
      <c r="A393" s="6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x14ac:dyDescent="0.25">
      <c r="A394" s="6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x14ac:dyDescent="0.25">
      <c r="A395" s="6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x14ac:dyDescent="0.25">
      <c r="A396" s="6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x14ac:dyDescent="0.25">
      <c r="A397" s="6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x14ac:dyDescent="0.25">
      <c r="A398" s="6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x14ac:dyDescent="0.25">
      <c r="A399" s="6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x14ac:dyDescent="0.25">
      <c r="A400" s="6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x14ac:dyDescent="0.25">
      <c r="A401" s="6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x14ac:dyDescent="0.25">
      <c r="A402" s="6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x14ac:dyDescent="0.25">
      <c r="A403" s="6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x14ac:dyDescent="0.25">
      <c r="A404" s="6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x14ac:dyDescent="0.25">
      <c r="A405" s="6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x14ac:dyDescent="0.25">
      <c r="A406" s="6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x14ac:dyDescent="0.25">
      <c r="A407" s="6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x14ac:dyDescent="0.25">
      <c r="A408" s="6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x14ac:dyDescent="0.25">
      <c r="A409" s="6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x14ac:dyDescent="0.25">
      <c r="A410" s="6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x14ac:dyDescent="0.25">
      <c r="A411" s="6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x14ac:dyDescent="0.25">
      <c r="A412" s="6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x14ac:dyDescent="0.25">
      <c r="A413" s="6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x14ac:dyDescent="0.25">
      <c r="A414" s="6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x14ac:dyDescent="0.25">
      <c r="A415" s="6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x14ac:dyDescent="0.25">
      <c r="A416" s="6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x14ac:dyDescent="0.25">
      <c r="A417" s="6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x14ac:dyDescent="0.25">
      <c r="A418" s="6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x14ac:dyDescent="0.25">
      <c r="A419" s="6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x14ac:dyDescent="0.25">
      <c r="A420" s="6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x14ac:dyDescent="0.25">
      <c r="A421" s="6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x14ac:dyDescent="0.25">
      <c r="A422" s="6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x14ac:dyDescent="0.25">
      <c r="A423" s="6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x14ac:dyDescent="0.25">
      <c r="A424" s="6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x14ac:dyDescent="0.25">
      <c r="A425" s="6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x14ac:dyDescent="0.25">
      <c r="A426" s="6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x14ac:dyDescent="0.25">
      <c r="A427" s="6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x14ac:dyDescent="0.25">
      <c r="A428" s="6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x14ac:dyDescent="0.25">
      <c r="A429" s="6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x14ac:dyDescent="0.25">
      <c r="A430" s="6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x14ac:dyDescent="0.25">
      <c r="A431" s="6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x14ac:dyDescent="0.25">
      <c r="A432" s="6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x14ac:dyDescent="0.25">
      <c r="A433" s="6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x14ac:dyDescent="0.25">
      <c r="A434" s="6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x14ac:dyDescent="0.25">
      <c r="A435" s="6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x14ac:dyDescent="0.25">
      <c r="A436" s="6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x14ac:dyDescent="0.25">
      <c r="A437" s="6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x14ac:dyDescent="0.25">
      <c r="A438" s="6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x14ac:dyDescent="0.25">
      <c r="A439" s="6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x14ac:dyDescent="0.25">
      <c r="A440" s="6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x14ac:dyDescent="0.25">
      <c r="A441" s="6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x14ac:dyDescent="0.25">
      <c r="A442" s="6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x14ac:dyDescent="0.25">
      <c r="A443" s="6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x14ac:dyDescent="0.25">
      <c r="A444" s="6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x14ac:dyDescent="0.25">
      <c r="A445" s="6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x14ac:dyDescent="0.25">
      <c r="A446" s="6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x14ac:dyDescent="0.25">
      <c r="A447" s="6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x14ac:dyDescent="0.25">
      <c r="A448" s="6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x14ac:dyDescent="0.25">
      <c r="A449" s="6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x14ac:dyDescent="0.25">
      <c r="A450" s="6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x14ac:dyDescent="0.25">
      <c r="A451" s="6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x14ac:dyDescent="0.25">
      <c r="A452" s="6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x14ac:dyDescent="0.25">
      <c r="A453" s="6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x14ac:dyDescent="0.25">
      <c r="A454" s="6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x14ac:dyDescent="0.25">
      <c r="A455" s="6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x14ac:dyDescent="0.25">
      <c r="A456" s="6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x14ac:dyDescent="0.25">
      <c r="A457" s="6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x14ac:dyDescent="0.25">
      <c r="A458" s="6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x14ac:dyDescent="0.25">
      <c r="A459" s="6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x14ac:dyDescent="0.25">
      <c r="A460" s="6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x14ac:dyDescent="0.25">
      <c r="A461" s="6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x14ac:dyDescent="0.25">
      <c r="A462" s="6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x14ac:dyDescent="0.25">
      <c r="A463" s="6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x14ac:dyDescent="0.25">
      <c r="A464" s="6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x14ac:dyDescent="0.25">
      <c r="A465" s="6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x14ac:dyDescent="0.25">
      <c r="A466" s="6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x14ac:dyDescent="0.25">
      <c r="A467" s="6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x14ac:dyDescent="0.25">
      <c r="A468" s="6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x14ac:dyDescent="0.25">
      <c r="A469" s="6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x14ac:dyDescent="0.25">
      <c r="A470" s="6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x14ac:dyDescent="0.25">
      <c r="A471" s="6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x14ac:dyDescent="0.25">
      <c r="A472" s="6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x14ac:dyDescent="0.25">
      <c r="A473" s="6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x14ac:dyDescent="0.25">
      <c r="A474" s="6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x14ac:dyDescent="0.25">
      <c r="A475" s="6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x14ac:dyDescent="0.25">
      <c r="A476" s="6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x14ac:dyDescent="0.25">
      <c r="A477" s="6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x14ac:dyDescent="0.25">
      <c r="A478" s="6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x14ac:dyDescent="0.25">
      <c r="A479" s="6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x14ac:dyDescent="0.25">
      <c r="A480" s="6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x14ac:dyDescent="0.25">
      <c r="A481" s="6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x14ac:dyDescent="0.25">
      <c r="A482" s="6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x14ac:dyDescent="0.25">
      <c r="A483" s="6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x14ac:dyDescent="0.25">
      <c r="A484" s="6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x14ac:dyDescent="0.25">
      <c r="A485" s="6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x14ac:dyDescent="0.25">
      <c r="A486" s="6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x14ac:dyDescent="0.25">
      <c r="A487" s="6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x14ac:dyDescent="0.25">
      <c r="A488" s="6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x14ac:dyDescent="0.25">
      <c r="A489" s="6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x14ac:dyDescent="0.25">
      <c r="A490" s="6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x14ac:dyDescent="0.25">
      <c r="A491" s="6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x14ac:dyDescent="0.25">
      <c r="A492" s="6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x14ac:dyDescent="0.25">
      <c r="A493" s="6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x14ac:dyDescent="0.25">
      <c r="A494" s="6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x14ac:dyDescent="0.25">
      <c r="A495" s="6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x14ac:dyDescent="0.25">
      <c r="A496" s="6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x14ac:dyDescent="0.25">
      <c r="A497" s="6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x14ac:dyDescent="0.25">
      <c r="A498" s="6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x14ac:dyDescent="0.25">
      <c r="A499" s="6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x14ac:dyDescent="0.25">
      <c r="A500" s="6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x14ac:dyDescent="0.25">
      <c r="A501" s="6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x14ac:dyDescent="0.25">
      <c r="A502" s="6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x14ac:dyDescent="0.25">
      <c r="A503" s="6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x14ac:dyDescent="0.25">
      <c r="A504" s="6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x14ac:dyDescent="0.25">
      <c r="A505" s="6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x14ac:dyDescent="0.25">
      <c r="A506" s="6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x14ac:dyDescent="0.25">
      <c r="A507" s="6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x14ac:dyDescent="0.25">
      <c r="A508" s="6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x14ac:dyDescent="0.25">
      <c r="A509" s="6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x14ac:dyDescent="0.25">
      <c r="A510" s="6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x14ac:dyDescent="0.25">
      <c r="A511" s="6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x14ac:dyDescent="0.25">
      <c r="A512" s="6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x14ac:dyDescent="0.25">
      <c r="A513" s="6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x14ac:dyDescent="0.25">
      <c r="A514" s="6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x14ac:dyDescent="0.25">
      <c r="A515" s="6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x14ac:dyDescent="0.25">
      <c r="A516" s="6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x14ac:dyDescent="0.25">
      <c r="A517" s="6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x14ac:dyDescent="0.25">
      <c r="A518" s="6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x14ac:dyDescent="0.25">
      <c r="A519" s="6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x14ac:dyDescent="0.25">
      <c r="A520" s="6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x14ac:dyDescent="0.25">
      <c r="A521" s="6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x14ac:dyDescent="0.25">
      <c r="A522" s="6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x14ac:dyDescent="0.25">
      <c r="A523" s="6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x14ac:dyDescent="0.25">
      <c r="A524" s="6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x14ac:dyDescent="0.25">
      <c r="A525" s="6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x14ac:dyDescent="0.25">
      <c r="A526" s="6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x14ac:dyDescent="0.25">
      <c r="A527" s="6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x14ac:dyDescent="0.25">
      <c r="A528" s="6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x14ac:dyDescent="0.25">
      <c r="A529" s="6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x14ac:dyDescent="0.25">
      <c r="A530" s="6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x14ac:dyDescent="0.25">
      <c r="A531" s="6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x14ac:dyDescent="0.25">
      <c r="A532" s="6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x14ac:dyDescent="0.25">
      <c r="A533" s="6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x14ac:dyDescent="0.25">
      <c r="A534" s="6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x14ac:dyDescent="0.25">
      <c r="A535" s="6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x14ac:dyDescent="0.25">
      <c r="A536" s="6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x14ac:dyDescent="0.25">
      <c r="A537" s="6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x14ac:dyDescent="0.25">
      <c r="A538" s="6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x14ac:dyDescent="0.25">
      <c r="A539" s="6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x14ac:dyDescent="0.25">
      <c r="A540" s="6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x14ac:dyDescent="0.25">
      <c r="A541" s="6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x14ac:dyDescent="0.25">
      <c r="A542" s="6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x14ac:dyDescent="0.25">
      <c r="A543" s="6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x14ac:dyDescent="0.25">
      <c r="A544" s="6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x14ac:dyDescent="0.25">
      <c r="A545" s="6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x14ac:dyDescent="0.25">
      <c r="A546" s="6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x14ac:dyDescent="0.25">
      <c r="A547" s="6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x14ac:dyDescent="0.25">
      <c r="A548" s="6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x14ac:dyDescent="0.25">
      <c r="A549" s="6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x14ac:dyDescent="0.25">
      <c r="A550" s="6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x14ac:dyDescent="0.25">
      <c r="A551" s="6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x14ac:dyDescent="0.25">
      <c r="A552" s="6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x14ac:dyDescent="0.25">
      <c r="A553" s="6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x14ac:dyDescent="0.25">
      <c r="A554" s="6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x14ac:dyDescent="0.25">
      <c r="A555" s="6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x14ac:dyDescent="0.25">
      <c r="A556" s="6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x14ac:dyDescent="0.25">
      <c r="A557" s="6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x14ac:dyDescent="0.25">
      <c r="A558" s="6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x14ac:dyDescent="0.25">
      <c r="A559" s="6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x14ac:dyDescent="0.25">
      <c r="A560" s="6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x14ac:dyDescent="0.25">
      <c r="A561" s="6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x14ac:dyDescent="0.25">
      <c r="A562" s="6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x14ac:dyDescent="0.25">
      <c r="A563" s="6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x14ac:dyDescent="0.25">
      <c r="A564" s="6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x14ac:dyDescent="0.25">
      <c r="A565" s="6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x14ac:dyDescent="0.25">
      <c r="A566" s="6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x14ac:dyDescent="0.25">
      <c r="A567" s="6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x14ac:dyDescent="0.25">
      <c r="A568" s="6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x14ac:dyDescent="0.25">
      <c r="A569" s="6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x14ac:dyDescent="0.25">
      <c r="A570" s="6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x14ac:dyDescent="0.25">
      <c r="A571" s="6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x14ac:dyDescent="0.25">
      <c r="A572" s="6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x14ac:dyDescent="0.25">
      <c r="A573" s="6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x14ac:dyDescent="0.25">
      <c r="A574" s="6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x14ac:dyDescent="0.25">
      <c r="A575" s="6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x14ac:dyDescent="0.25">
      <c r="A576" s="6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x14ac:dyDescent="0.25">
      <c r="A577" s="6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x14ac:dyDescent="0.25">
      <c r="A578" s="6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x14ac:dyDescent="0.25">
      <c r="A579" s="6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x14ac:dyDescent="0.25">
      <c r="A580" s="6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x14ac:dyDescent="0.25">
      <c r="A581" s="6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x14ac:dyDescent="0.25">
      <c r="A582" s="6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x14ac:dyDescent="0.25">
      <c r="A583" s="6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x14ac:dyDescent="0.25">
      <c r="A584" s="6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x14ac:dyDescent="0.25">
      <c r="A585" s="6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x14ac:dyDescent="0.25">
      <c r="A586" s="6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x14ac:dyDescent="0.25">
      <c r="A587" s="6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x14ac:dyDescent="0.25">
      <c r="A588" s="6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x14ac:dyDescent="0.25">
      <c r="A589" s="6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x14ac:dyDescent="0.25">
      <c r="A590" s="6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x14ac:dyDescent="0.25">
      <c r="A591" s="6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x14ac:dyDescent="0.25">
      <c r="A592" s="6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x14ac:dyDescent="0.25">
      <c r="A593" s="6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x14ac:dyDescent="0.25">
      <c r="A594" s="6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x14ac:dyDescent="0.25">
      <c r="A595" s="6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x14ac:dyDescent="0.25">
      <c r="A596" s="6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x14ac:dyDescent="0.25">
      <c r="A597" s="6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x14ac:dyDescent="0.25">
      <c r="A598" s="6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x14ac:dyDescent="0.25">
      <c r="A599" s="6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x14ac:dyDescent="0.25">
      <c r="A600" s="6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x14ac:dyDescent="0.25">
      <c r="A601" s="6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x14ac:dyDescent="0.25">
      <c r="A602" s="6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x14ac:dyDescent="0.25">
      <c r="A603" s="6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x14ac:dyDescent="0.25">
      <c r="A604" s="6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x14ac:dyDescent="0.25">
      <c r="A605" s="6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x14ac:dyDescent="0.25">
      <c r="A606" s="6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x14ac:dyDescent="0.25">
      <c r="A607" s="6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x14ac:dyDescent="0.25">
      <c r="A608" s="6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x14ac:dyDescent="0.25">
      <c r="A609" s="6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x14ac:dyDescent="0.25">
      <c r="A610" s="6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x14ac:dyDescent="0.25">
      <c r="A611" s="6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x14ac:dyDescent="0.25">
      <c r="A612" s="6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x14ac:dyDescent="0.25">
      <c r="A613" s="6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x14ac:dyDescent="0.25">
      <c r="A614" s="6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x14ac:dyDescent="0.25">
      <c r="A615" s="6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x14ac:dyDescent="0.25">
      <c r="A616" s="6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x14ac:dyDescent="0.25">
      <c r="A617" s="6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x14ac:dyDescent="0.25">
      <c r="A618" s="6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x14ac:dyDescent="0.25">
      <c r="A619" s="6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x14ac:dyDescent="0.25">
      <c r="A620" s="6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x14ac:dyDescent="0.25">
      <c r="A621" s="6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x14ac:dyDescent="0.25">
      <c r="A622" s="6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x14ac:dyDescent="0.25">
      <c r="A623" s="6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x14ac:dyDescent="0.25">
      <c r="A624" s="6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x14ac:dyDescent="0.25">
      <c r="A625" s="6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x14ac:dyDescent="0.25">
      <c r="A626" s="6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x14ac:dyDescent="0.25">
      <c r="A627" s="6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x14ac:dyDescent="0.25">
      <c r="A628" s="6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x14ac:dyDescent="0.25">
      <c r="A629" s="6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x14ac:dyDescent="0.25">
      <c r="A630" s="6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x14ac:dyDescent="0.25">
      <c r="A631" s="6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x14ac:dyDescent="0.25">
      <c r="A632" s="6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x14ac:dyDescent="0.25">
      <c r="A633" s="6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x14ac:dyDescent="0.25">
      <c r="A634" s="6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x14ac:dyDescent="0.25">
      <c r="A635" s="6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x14ac:dyDescent="0.25">
      <c r="A636" s="6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x14ac:dyDescent="0.25">
      <c r="A637" s="6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x14ac:dyDescent="0.25">
      <c r="A638" s="6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x14ac:dyDescent="0.25">
      <c r="A639" s="6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x14ac:dyDescent="0.25">
      <c r="A640" s="6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x14ac:dyDescent="0.25">
      <c r="A641" s="6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x14ac:dyDescent="0.25">
      <c r="A642" s="6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x14ac:dyDescent="0.25">
      <c r="A643" s="6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x14ac:dyDescent="0.25">
      <c r="A644" s="6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x14ac:dyDescent="0.25">
      <c r="A645" s="6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x14ac:dyDescent="0.25">
      <c r="A646" s="6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x14ac:dyDescent="0.25">
      <c r="A647" s="6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x14ac:dyDescent="0.25">
      <c r="A648" s="6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x14ac:dyDescent="0.25">
      <c r="A649" s="6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x14ac:dyDescent="0.25">
      <c r="A650" s="6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x14ac:dyDescent="0.25">
      <c r="A651" s="6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x14ac:dyDescent="0.25">
      <c r="A652" s="6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x14ac:dyDescent="0.25">
      <c r="A653" s="6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x14ac:dyDescent="0.25">
      <c r="A654" s="6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x14ac:dyDescent="0.25">
      <c r="A655" s="6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x14ac:dyDescent="0.25">
      <c r="A656" s="6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x14ac:dyDescent="0.25">
      <c r="A657" s="6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x14ac:dyDescent="0.25">
      <c r="A658" s="6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x14ac:dyDescent="0.25">
      <c r="A659" s="6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x14ac:dyDescent="0.25">
      <c r="A660" s="6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x14ac:dyDescent="0.25">
      <c r="A661" s="6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x14ac:dyDescent="0.25">
      <c r="A662" s="6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x14ac:dyDescent="0.25">
      <c r="A663" s="6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x14ac:dyDescent="0.25">
      <c r="A664" s="6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x14ac:dyDescent="0.25">
      <c r="A665" s="6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x14ac:dyDescent="0.25">
      <c r="A666" s="6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x14ac:dyDescent="0.25">
      <c r="A667" s="6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x14ac:dyDescent="0.25">
      <c r="A668" s="6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x14ac:dyDescent="0.25">
      <c r="A669" s="6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x14ac:dyDescent="0.25">
      <c r="A670" s="6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x14ac:dyDescent="0.25">
      <c r="A671" s="6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x14ac:dyDescent="0.25">
      <c r="A672" s="6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x14ac:dyDescent="0.25">
      <c r="A673" s="6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x14ac:dyDescent="0.25">
      <c r="A674" s="6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x14ac:dyDescent="0.25">
      <c r="A675" s="6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x14ac:dyDescent="0.25">
      <c r="A676" s="6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x14ac:dyDescent="0.25">
      <c r="A677" s="6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x14ac:dyDescent="0.25">
      <c r="A678" s="6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x14ac:dyDescent="0.25">
      <c r="A679" s="6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x14ac:dyDescent="0.25">
      <c r="A680" s="6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x14ac:dyDescent="0.25">
      <c r="A681" s="6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x14ac:dyDescent="0.25">
      <c r="A682" s="6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x14ac:dyDescent="0.25">
      <c r="A683" s="6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x14ac:dyDescent="0.25">
      <c r="A684" s="6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x14ac:dyDescent="0.25">
      <c r="A685" s="6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x14ac:dyDescent="0.25">
      <c r="A686" s="6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x14ac:dyDescent="0.25">
      <c r="A687" s="6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x14ac:dyDescent="0.25">
      <c r="A688" s="6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x14ac:dyDescent="0.25">
      <c r="A689" s="6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x14ac:dyDescent="0.25">
      <c r="A690" s="6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x14ac:dyDescent="0.25">
      <c r="A691" s="6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x14ac:dyDescent="0.25">
      <c r="A692" s="6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x14ac:dyDescent="0.25">
      <c r="A693" s="6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x14ac:dyDescent="0.25">
      <c r="A694" s="6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x14ac:dyDescent="0.25">
      <c r="A695" s="6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x14ac:dyDescent="0.25">
      <c r="A696" s="6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x14ac:dyDescent="0.25">
      <c r="A697" s="6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x14ac:dyDescent="0.25">
      <c r="A698" s="6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x14ac:dyDescent="0.25">
      <c r="A699" s="6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x14ac:dyDescent="0.25">
      <c r="A700" s="6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x14ac:dyDescent="0.25">
      <c r="A701" s="6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x14ac:dyDescent="0.25">
      <c r="A702" s="6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x14ac:dyDescent="0.25">
      <c r="A703" s="6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x14ac:dyDescent="0.25">
      <c r="A704" s="6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x14ac:dyDescent="0.25">
      <c r="A705" s="6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x14ac:dyDescent="0.25">
      <c r="A706" s="6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x14ac:dyDescent="0.25">
      <c r="A707" s="6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x14ac:dyDescent="0.25">
      <c r="A708" s="6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x14ac:dyDescent="0.25">
      <c r="A709" s="6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x14ac:dyDescent="0.25">
      <c r="A710" s="6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x14ac:dyDescent="0.25">
      <c r="A711" s="6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x14ac:dyDescent="0.25">
      <c r="A712" s="6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x14ac:dyDescent="0.25">
      <c r="A713" s="6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x14ac:dyDescent="0.25">
      <c r="A714" s="6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x14ac:dyDescent="0.25">
      <c r="A715" s="6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x14ac:dyDescent="0.25">
      <c r="A716" s="6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x14ac:dyDescent="0.25">
      <c r="A717" s="6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x14ac:dyDescent="0.25">
      <c r="A718" s="6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x14ac:dyDescent="0.25">
      <c r="A719" s="6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x14ac:dyDescent="0.25">
      <c r="A720" s="6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x14ac:dyDescent="0.25">
      <c r="A721" s="6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x14ac:dyDescent="0.25">
      <c r="A722" s="6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x14ac:dyDescent="0.25">
      <c r="A723" s="6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x14ac:dyDescent="0.25">
      <c r="A724" s="6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x14ac:dyDescent="0.25">
      <c r="A725" s="6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x14ac:dyDescent="0.25">
      <c r="A726" s="6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x14ac:dyDescent="0.25">
      <c r="A727" s="6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x14ac:dyDescent="0.25">
      <c r="A728" s="6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x14ac:dyDescent="0.25">
      <c r="A729" s="6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x14ac:dyDescent="0.25">
      <c r="A730" s="6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x14ac:dyDescent="0.25">
      <c r="A731" s="6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x14ac:dyDescent="0.25">
      <c r="A732" s="6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x14ac:dyDescent="0.25">
      <c r="A733" s="6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x14ac:dyDescent="0.25">
      <c r="A734" s="6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x14ac:dyDescent="0.25">
      <c r="A735" s="6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x14ac:dyDescent="0.25">
      <c r="A736" s="6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x14ac:dyDescent="0.25">
      <c r="A737" s="6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x14ac:dyDescent="0.25">
      <c r="A738" s="6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x14ac:dyDescent="0.25">
      <c r="A739" s="6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x14ac:dyDescent="0.25">
      <c r="A740" s="6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x14ac:dyDescent="0.25">
      <c r="A741" s="6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x14ac:dyDescent="0.25">
      <c r="A742" s="6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x14ac:dyDescent="0.25">
      <c r="A743" s="6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x14ac:dyDescent="0.25">
      <c r="A744" s="6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x14ac:dyDescent="0.25">
      <c r="A745" s="6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x14ac:dyDescent="0.25">
      <c r="A746" s="6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x14ac:dyDescent="0.25">
      <c r="A747" s="6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x14ac:dyDescent="0.25">
      <c r="A748" s="6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x14ac:dyDescent="0.25">
      <c r="A749" s="6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x14ac:dyDescent="0.25">
      <c r="A750" s="6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x14ac:dyDescent="0.25">
      <c r="A751" s="6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x14ac:dyDescent="0.25">
      <c r="A752" s="6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x14ac:dyDescent="0.25">
      <c r="A753" s="6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x14ac:dyDescent="0.25">
      <c r="A754" s="6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x14ac:dyDescent="0.25">
      <c r="A755" s="6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x14ac:dyDescent="0.25">
      <c r="A756" s="6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x14ac:dyDescent="0.25">
      <c r="A757" s="6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x14ac:dyDescent="0.25">
      <c r="A758" s="6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x14ac:dyDescent="0.25">
      <c r="A759" s="6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x14ac:dyDescent="0.25">
      <c r="A760" s="6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x14ac:dyDescent="0.25">
      <c r="A761" s="6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x14ac:dyDescent="0.25">
      <c r="A762" s="6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x14ac:dyDescent="0.25">
      <c r="A763" s="6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x14ac:dyDescent="0.25">
      <c r="A764" s="6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x14ac:dyDescent="0.25">
      <c r="A765" s="6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x14ac:dyDescent="0.25">
      <c r="A766" s="6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x14ac:dyDescent="0.25">
      <c r="A767" s="6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x14ac:dyDescent="0.25">
      <c r="A768" s="6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x14ac:dyDescent="0.25">
      <c r="A769" s="6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x14ac:dyDescent="0.25">
      <c r="A770" s="6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x14ac:dyDescent="0.25">
      <c r="A771" s="6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x14ac:dyDescent="0.25">
      <c r="A772" s="6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x14ac:dyDescent="0.25">
      <c r="A773" s="6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x14ac:dyDescent="0.25">
      <c r="A774" s="6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x14ac:dyDescent="0.25">
      <c r="A775" s="6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x14ac:dyDescent="0.25">
      <c r="A776" s="6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x14ac:dyDescent="0.25">
      <c r="A777" s="6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x14ac:dyDescent="0.25">
      <c r="A778" s="6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x14ac:dyDescent="0.25">
      <c r="A779" s="6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x14ac:dyDescent="0.25">
      <c r="A780" s="6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x14ac:dyDescent="0.25">
      <c r="A781" s="6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x14ac:dyDescent="0.25">
      <c r="A782" s="6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x14ac:dyDescent="0.25">
      <c r="A783" s="6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x14ac:dyDescent="0.25">
      <c r="A784" s="6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x14ac:dyDescent="0.25">
      <c r="A785" s="6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x14ac:dyDescent="0.25">
      <c r="A786" s="6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x14ac:dyDescent="0.25">
      <c r="A787" s="6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x14ac:dyDescent="0.25">
      <c r="A788" s="6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x14ac:dyDescent="0.25">
      <c r="A789" s="6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x14ac:dyDescent="0.25">
      <c r="A790" s="6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x14ac:dyDescent="0.25">
      <c r="A791" s="6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x14ac:dyDescent="0.25">
      <c r="A792" s="6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x14ac:dyDescent="0.25">
      <c r="A793" s="6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x14ac:dyDescent="0.25">
      <c r="A794" s="6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x14ac:dyDescent="0.25">
      <c r="A795" s="6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x14ac:dyDescent="0.25">
      <c r="A796" s="6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x14ac:dyDescent="0.25">
      <c r="A797" s="6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x14ac:dyDescent="0.25">
      <c r="A798" s="6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x14ac:dyDescent="0.25">
      <c r="A799" s="6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x14ac:dyDescent="0.25">
      <c r="A800" s="6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x14ac:dyDescent="0.25">
      <c r="A801" s="6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x14ac:dyDescent="0.25">
      <c r="A802" s="6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x14ac:dyDescent="0.25">
      <c r="A803" s="6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x14ac:dyDescent="0.25">
      <c r="A804" s="6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x14ac:dyDescent="0.25">
      <c r="A805" s="6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x14ac:dyDescent="0.25">
      <c r="A806" s="6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x14ac:dyDescent="0.25">
      <c r="A807" s="6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x14ac:dyDescent="0.25">
      <c r="A808" s="6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x14ac:dyDescent="0.25">
      <c r="A809" s="6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x14ac:dyDescent="0.25">
      <c r="A810" s="6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x14ac:dyDescent="0.25">
      <c r="A811" s="6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x14ac:dyDescent="0.25">
      <c r="A812" s="6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x14ac:dyDescent="0.25">
      <c r="A813" s="6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x14ac:dyDescent="0.25">
      <c r="A814" s="6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x14ac:dyDescent="0.25">
      <c r="A815" s="6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x14ac:dyDescent="0.25">
      <c r="A816" s="6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x14ac:dyDescent="0.25">
      <c r="A817" s="6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x14ac:dyDescent="0.25">
      <c r="A818" s="6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x14ac:dyDescent="0.25">
      <c r="A819" s="6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x14ac:dyDescent="0.25">
      <c r="A820" s="6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x14ac:dyDescent="0.25">
      <c r="A821" s="6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x14ac:dyDescent="0.25">
      <c r="A822" s="6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x14ac:dyDescent="0.25">
      <c r="A823" s="6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x14ac:dyDescent="0.25">
      <c r="A824" s="6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x14ac:dyDescent="0.25">
      <c r="A825" s="6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x14ac:dyDescent="0.25">
      <c r="A826" s="6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x14ac:dyDescent="0.25">
      <c r="A827" s="6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x14ac:dyDescent="0.25">
      <c r="A828" s="6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x14ac:dyDescent="0.25">
      <c r="A829" s="6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x14ac:dyDescent="0.25">
      <c r="A830" s="6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x14ac:dyDescent="0.25">
      <c r="A831" s="6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x14ac:dyDescent="0.25">
      <c r="A832" s="6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x14ac:dyDescent="0.25">
      <c r="A833" s="6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x14ac:dyDescent="0.25">
      <c r="A834" s="6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x14ac:dyDescent="0.25">
      <c r="A835" s="6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x14ac:dyDescent="0.25">
      <c r="A836" s="6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x14ac:dyDescent="0.25">
      <c r="A837" s="6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x14ac:dyDescent="0.25">
      <c r="A838" s="6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x14ac:dyDescent="0.25">
      <c r="A839" s="6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x14ac:dyDescent="0.25">
      <c r="A840" s="6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x14ac:dyDescent="0.25">
      <c r="A841" s="6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x14ac:dyDescent="0.25">
      <c r="A842" s="6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x14ac:dyDescent="0.25">
      <c r="A843" s="6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x14ac:dyDescent="0.25">
      <c r="A844" s="6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x14ac:dyDescent="0.25">
      <c r="A845" s="6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x14ac:dyDescent="0.25">
      <c r="A846" s="6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x14ac:dyDescent="0.25">
      <c r="A847" s="6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x14ac:dyDescent="0.25">
      <c r="A848" s="6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x14ac:dyDescent="0.25">
      <c r="A849" s="6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x14ac:dyDescent="0.25">
      <c r="A850" s="6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x14ac:dyDescent="0.25">
      <c r="A851" s="6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x14ac:dyDescent="0.25">
      <c r="A852" s="6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x14ac:dyDescent="0.25">
      <c r="A853" s="6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x14ac:dyDescent="0.25">
      <c r="A854" s="6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x14ac:dyDescent="0.25">
      <c r="A855" s="6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x14ac:dyDescent="0.25">
      <c r="A856" s="6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x14ac:dyDescent="0.25">
      <c r="A857" s="6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x14ac:dyDescent="0.25">
      <c r="A858" s="6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x14ac:dyDescent="0.25">
      <c r="A859" s="6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x14ac:dyDescent="0.25">
      <c r="A860" s="6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x14ac:dyDescent="0.25">
      <c r="A861" s="6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x14ac:dyDescent="0.25">
      <c r="A862" s="6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x14ac:dyDescent="0.25">
      <c r="A863" s="6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x14ac:dyDescent="0.25">
      <c r="A864" s="6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x14ac:dyDescent="0.25">
      <c r="A865" s="6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x14ac:dyDescent="0.25">
      <c r="A866" s="6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x14ac:dyDescent="0.25">
      <c r="A867" s="6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x14ac:dyDescent="0.25">
      <c r="A868" s="6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x14ac:dyDescent="0.25">
      <c r="A869" s="6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x14ac:dyDescent="0.25">
      <c r="A870" s="6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x14ac:dyDescent="0.25">
      <c r="A871" s="6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x14ac:dyDescent="0.25">
      <c r="A872" s="6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x14ac:dyDescent="0.25">
      <c r="A873" s="6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x14ac:dyDescent="0.25">
      <c r="A874" s="6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x14ac:dyDescent="0.25">
      <c r="A875" s="6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x14ac:dyDescent="0.25">
      <c r="A876" s="6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x14ac:dyDescent="0.25">
      <c r="A877" s="6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x14ac:dyDescent="0.25">
      <c r="A878" s="6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x14ac:dyDescent="0.25">
      <c r="A879" s="6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x14ac:dyDescent="0.25">
      <c r="A880" s="6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x14ac:dyDescent="0.25">
      <c r="A881" s="6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x14ac:dyDescent="0.25">
      <c r="A882" s="6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x14ac:dyDescent="0.25">
      <c r="A883" s="6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x14ac:dyDescent="0.25">
      <c r="A884" s="6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x14ac:dyDescent="0.25">
      <c r="A885" s="6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x14ac:dyDescent="0.25">
      <c r="A886" s="6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x14ac:dyDescent="0.25">
      <c r="A887" s="6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x14ac:dyDescent="0.25">
      <c r="A888" s="6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x14ac:dyDescent="0.25">
      <c r="A889" s="6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x14ac:dyDescent="0.25">
      <c r="A890" s="6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x14ac:dyDescent="0.25">
      <c r="A891" s="6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x14ac:dyDescent="0.25">
      <c r="A892" s="6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x14ac:dyDescent="0.25">
      <c r="A893" s="6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x14ac:dyDescent="0.25">
      <c r="A894" s="6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x14ac:dyDescent="0.25">
      <c r="A895" s="6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x14ac:dyDescent="0.25">
      <c r="A896" s="6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x14ac:dyDescent="0.25">
      <c r="A897" s="6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x14ac:dyDescent="0.25">
      <c r="A898" s="6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x14ac:dyDescent="0.25">
      <c r="A899" s="6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x14ac:dyDescent="0.25">
      <c r="A900" s="6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x14ac:dyDescent="0.25">
      <c r="A901" s="6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x14ac:dyDescent="0.25">
      <c r="A902" s="6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x14ac:dyDescent="0.25">
      <c r="A903" s="6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x14ac:dyDescent="0.25">
      <c r="A904" s="6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x14ac:dyDescent="0.25">
      <c r="A905" s="6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x14ac:dyDescent="0.25">
      <c r="A906" s="6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x14ac:dyDescent="0.25">
      <c r="A907" s="6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x14ac:dyDescent="0.25">
      <c r="A908" s="6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x14ac:dyDescent="0.25">
      <c r="A909" s="6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x14ac:dyDescent="0.25">
      <c r="A910" s="6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x14ac:dyDescent="0.25">
      <c r="A911" s="6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x14ac:dyDescent="0.25">
      <c r="A912" s="6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x14ac:dyDescent="0.25">
      <c r="A913" s="6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x14ac:dyDescent="0.25">
      <c r="A914" s="6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x14ac:dyDescent="0.25">
      <c r="A915" s="6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x14ac:dyDescent="0.25">
      <c r="A916" s="6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x14ac:dyDescent="0.25">
      <c r="A917" s="6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x14ac:dyDescent="0.25">
      <c r="A918" s="6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x14ac:dyDescent="0.25">
      <c r="A919" s="6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x14ac:dyDescent="0.25">
      <c r="A920" s="6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x14ac:dyDescent="0.25">
      <c r="A921" s="6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x14ac:dyDescent="0.25">
      <c r="A922" s="6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x14ac:dyDescent="0.25">
      <c r="A923" s="6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x14ac:dyDescent="0.25">
      <c r="A924" s="6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x14ac:dyDescent="0.25">
      <c r="A925" s="6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x14ac:dyDescent="0.25">
      <c r="A926" s="6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x14ac:dyDescent="0.25">
      <c r="A927" s="6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x14ac:dyDescent="0.25">
      <c r="A928" s="6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x14ac:dyDescent="0.25">
      <c r="A929" s="6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x14ac:dyDescent="0.25">
      <c r="A930" s="6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x14ac:dyDescent="0.25">
      <c r="A931" s="6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x14ac:dyDescent="0.25">
      <c r="A932" s="6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x14ac:dyDescent="0.25">
      <c r="A933" s="6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x14ac:dyDescent="0.25">
      <c r="A934" s="6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x14ac:dyDescent="0.25">
      <c r="A935" s="6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x14ac:dyDescent="0.25">
      <c r="A936" s="6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x14ac:dyDescent="0.25">
      <c r="A937" s="6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x14ac:dyDescent="0.25">
      <c r="A938" s="6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x14ac:dyDescent="0.25">
      <c r="A939" s="6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x14ac:dyDescent="0.25">
      <c r="A940" s="6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x14ac:dyDescent="0.25">
      <c r="A941" s="6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x14ac:dyDescent="0.25">
      <c r="A942" s="6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x14ac:dyDescent="0.25">
      <c r="A943" s="6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x14ac:dyDescent="0.25">
      <c r="A944" s="6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x14ac:dyDescent="0.25">
      <c r="A945" s="6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x14ac:dyDescent="0.25">
      <c r="A946" s="6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x14ac:dyDescent="0.25">
      <c r="A947" s="6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 x14ac:dyDescent="0.25">
      <c r="A948" s="6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 x14ac:dyDescent="0.25">
      <c r="A949" s="6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x14ac:dyDescent="0.25">
      <c r="A950" s="6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 x14ac:dyDescent="0.25">
      <c r="A951" s="6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 x14ac:dyDescent="0.25">
      <c r="A952" s="6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 x14ac:dyDescent="0.25">
      <c r="A953" s="6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 x14ac:dyDescent="0.25">
      <c r="A954" s="6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 x14ac:dyDescent="0.25">
      <c r="A955" s="6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 x14ac:dyDescent="0.25">
      <c r="A956" s="6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 x14ac:dyDescent="0.25">
      <c r="A957" s="6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 x14ac:dyDescent="0.25">
      <c r="A958" s="6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 x14ac:dyDescent="0.25">
      <c r="A959" s="6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 x14ac:dyDescent="0.25">
      <c r="A960" s="6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 x14ac:dyDescent="0.25">
      <c r="A961" s="6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 x14ac:dyDescent="0.25">
      <c r="A962" s="6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 x14ac:dyDescent="0.25">
      <c r="A963" s="6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 x14ac:dyDescent="0.25">
      <c r="A964" s="6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 x14ac:dyDescent="0.25">
      <c r="A965" s="6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 x14ac:dyDescent="0.25">
      <c r="A966" s="6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 x14ac:dyDescent="0.25">
      <c r="A967" s="6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 x14ac:dyDescent="0.25">
      <c r="A968" s="6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 x14ac:dyDescent="0.25">
      <c r="A969" s="6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 x14ac:dyDescent="0.25">
      <c r="A970" s="6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 x14ac:dyDescent="0.25">
      <c r="A971" s="6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 x14ac:dyDescent="0.25">
      <c r="A972" s="6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 x14ac:dyDescent="0.25">
      <c r="A973" s="6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 x14ac:dyDescent="0.25">
      <c r="A974" s="6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 x14ac:dyDescent="0.25">
      <c r="A975" s="6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 x14ac:dyDescent="0.25">
      <c r="A976" s="6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 x14ac:dyDescent="0.25">
      <c r="A977" s="6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 x14ac:dyDescent="0.25">
      <c r="A978" s="6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 x14ac:dyDescent="0.25">
      <c r="A979" s="6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 x14ac:dyDescent="0.25">
      <c r="A980" s="6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 x14ac:dyDescent="0.25">
      <c r="A981" s="6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 x14ac:dyDescent="0.25">
      <c r="A982" s="6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 x14ac:dyDescent="0.25">
      <c r="A983" s="6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 x14ac:dyDescent="0.25">
      <c r="A984" s="6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 x14ac:dyDescent="0.25">
      <c r="A985" s="6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 x14ac:dyDescent="0.25">
      <c r="A986" s="6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 x14ac:dyDescent="0.25">
      <c r="A987" s="6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 x14ac:dyDescent="0.25">
      <c r="A988" s="6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 x14ac:dyDescent="0.25">
      <c r="A989" s="6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 x14ac:dyDescent="0.25">
      <c r="A990" s="6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 x14ac:dyDescent="0.25">
      <c r="A991" s="6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 x14ac:dyDescent="0.25">
      <c r="A992" s="6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 x14ac:dyDescent="0.25">
      <c r="A993" s="6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5" x14ac:dyDescent="0.25">
      <c r="A994" s="6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spans="1:25" x14ac:dyDescent="0.25">
      <c r="A995" s="6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spans="1:25" x14ac:dyDescent="0.25">
      <c r="A996" s="6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spans="1:25" x14ac:dyDescent="0.25">
      <c r="A997" s="6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spans="1:25" x14ac:dyDescent="0.25">
      <c r="A998" s="6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spans="1:25" x14ac:dyDescent="0.25">
      <c r="A999" s="6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spans="1:25" x14ac:dyDescent="0.25">
      <c r="A1000" s="6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zoomScale="150" zoomScaleNormal="150" workbookViewId="0">
      <selection sqref="A1:XFD1048576"/>
    </sheetView>
  </sheetViews>
  <sheetFormatPr defaultColWidth="12.6640625" defaultRowHeight="15.75" customHeight="1" x14ac:dyDescent="0.25"/>
  <cols>
    <col min="1" max="1" width="3.77734375" customWidth="1"/>
    <col min="2" max="2" width="11.21875" bestFit="1" customWidth="1"/>
    <col min="3" max="3" width="22.109375" bestFit="1" customWidth="1"/>
    <col min="4" max="4" width="16.6640625" bestFit="1" customWidth="1"/>
    <col min="5" max="6" width="11" bestFit="1" customWidth="1"/>
    <col min="7" max="7" width="21.109375" bestFit="1" customWidth="1"/>
    <col min="8" max="8" width="13.33203125" bestFit="1" customWidth="1"/>
  </cols>
  <sheetData>
    <row r="1" spans="1:26" x14ac:dyDescent="0.25">
      <c r="A1" s="33"/>
      <c r="B1" s="34"/>
      <c r="C1" s="35"/>
      <c r="D1" s="12" t="s">
        <v>106</v>
      </c>
      <c r="E1" s="12" t="s">
        <v>107</v>
      </c>
      <c r="F1" s="12" t="s">
        <v>108</v>
      </c>
      <c r="G1" s="12" t="s">
        <v>109</v>
      </c>
      <c r="H1" s="12" t="s">
        <v>110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13" t="s">
        <v>111</v>
      </c>
      <c r="B2" s="12" t="s">
        <v>112</v>
      </c>
      <c r="C2" s="12" t="s">
        <v>113</v>
      </c>
      <c r="D2" s="12" t="s">
        <v>114</v>
      </c>
      <c r="E2" s="12" t="s">
        <v>115</v>
      </c>
      <c r="F2" s="12" t="s">
        <v>115</v>
      </c>
      <c r="G2" s="12" t="s">
        <v>116</v>
      </c>
      <c r="H2" s="12" t="s">
        <v>116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14">
        <v>1</v>
      </c>
      <c r="B3" s="15" t="s">
        <v>117</v>
      </c>
      <c r="C3" s="15" t="s">
        <v>118</v>
      </c>
      <c r="D3" s="15">
        <v>8.3000000000000007</v>
      </c>
      <c r="E3" s="15">
        <v>12</v>
      </c>
      <c r="F3" s="15">
        <v>13</v>
      </c>
      <c r="G3" s="15">
        <v>4</v>
      </c>
      <c r="H3" s="15">
        <v>3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x14ac:dyDescent="0.25">
      <c r="A4" s="14">
        <v>2</v>
      </c>
      <c r="B4" s="15" t="s">
        <v>119</v>
      </c>
      <c r="C4" s="15" t="s">
        <v>120</v>
      </c>
      <c r="D4" s="15">
        <v>8.25</v>
      </c>
      <c r="E4" s="15">
        <v>12</v>
      </c>
      <c r="F4" s="15">
        <v>13</v>
      </c>
      <c r="G4" s="15">
        <v>4</v>
      </c>
      <c r="H4" s="15">
        <v>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x14ac:dyDescent="0.25">
      <c r="A5" s="14">
        <v>3</v>
      </c>
      <c r="B5" s="15" t="s">
        <v>121</v>
      </c>
      <c r="C5" s="15" t="s">
        <v>122</v>
      </c>
      <c r="D5" s="15">
        <v>9.5</v>
      </c>
      <c r="E5" s="15">
        <v>12.5</v>
      </c>
      <c r="F5" s="15">
        <v>14</v>
      </c>
      <c r="G5" s="15">
        <v>5</v>
      </c>
      <c r="H5" s="15">
        <v>5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14">
        <v>4</v>
      </c>
      <c r="B6" s="15" t="s">
        <v>123</v>
      </c>
      <c r="C6" s="15" t="s">
        <v>124</v>
      </c>
      <c r="D6" s="15">
        <v>6.45</v>
      </c>
      <c r="E6" s="15">
        <v>10.5</v>
      </c>
      <c r="F6" s="15">
        <v>14</v>
      </c>
      <c r="G6" s="15">
        <v>4.5</v>
      </c>
      <c r="H6" s="15">
        <v>3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x14ac:dyDescent="0.25">
      <c r="A7" s="14">
        <v>5</v>
      </c>
      <c r="B7" s="15" t="s">
        <v>125</v>
      </c>
      <c r="C7" s="15" t="s">
        <v>126</v>
      </c>
      <c r="D7" s="15">
        <v>7.3</v>
      </c>
      <c r="E7" s="15">
        <v>11.5</v>
      </c>
      <c r="F7" s="15">
        <v>13.5</v>
      </c>
      <c r="G7" s="15">
        <v>4.5</v>
      </c>
      <c r="H7" s="15">
        <v>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14">
        <v>6</v>
      </c>
      <c r="B8" s="15" t="s">
        <v>127</v>
      </c>
      <c r="C8" s="15" t="s">
        <v>128</v>
      </c>
      <c r="D8" s="15">
        <v>6.3</v>
      </c>
      <c r="E8" s="15">
        <v>11</v>
      </c>
      <c r="F8" s="15">
        <v>13.5</v>
      </c>
      <c r="G8" s="15">
        <v>4</v>
      </c>
      <c r="H8" s="15">
        <v>3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14">
        <v>7</v>
      </c>
      <c r="B9" s="15" t="s">
        <v>129</v>
      </c>
      <c r="C9" s="15" t="s">
        <v>130</v>
      </c>
      <c r="D9" s="15">
        <v>7.35</v>
      </c>
      <c r="E9" s="15">
        <v>11</v>
      </c>
      <c r="F9" s="15">
        <v>13.5</v>
      </c>
      <c r="G9" s="15">
        <v>4.5</v>
      </c>
      <c r="H9" s="15">
        <v>3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14">
        <v>8</v>
      </c>
      <c r="B10" s="15" t="s">
        <v>131</v>
      </c>
      <c r="C10" s="15" t="s">
        <v>132</v>
      </c>
      <c r="D10" s="15">
        <v>4.4000000000000004</v>
      </c>
      <c r="E10" s="15">
        <v>11</v>
      </c>
      <c r="F10" s="15">
        <v>12</v>
      </c>
      <c r="G10" s="15">
        <v>3.5</v>
      </c>
      <c r="H10" s="15">
        <v>3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5">
      <c r="A11" s="14">
        <v>9</v>
      </c>
      <c r="B11" s="15" t="s">
        <v>133</v>
      </c>
      <c r="C11" s="15" t="s">
        <v>134</v>
      </c>
      <c r="D11" s="15">
        <v>4.5999999999999996</v>
      </c>
      <c r="E11" s="15">
        <v>11</v>
      </c>
      <c r="F11" s="15">
        <v>12</v>
      </c>
      <c r="G11" s="15">
        <v>3.5</v>
      </c>
      <c r="H11" s="15">
        <v>3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14">
        <v>10</v>
      </c>
      <c r="B12" s="15" t="s">
        <v>135</v>
      </c>
      <c r="C12" s="15" t="s">
        <v>136</v>
      </c>
      <c r="D12" s="15">
        <v>8.1999999999999993</v>
      </c>
      <c r="E12" s="15">
        <v>11.5</v>
      </c>
      <c r="F12" s="15">
        <v>14</v>
      </c>
      <c r="G12" s="15">
        <v>4.5</v>
      </c>
      <c r="H12" s="15">
        <v>5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14">
        <v>11</v>
      </c>
      <c r="B13" s="15" t="s">
        <v>137</v>
      </c>
      <c r="C13" s="15" t="s">
        <v>138</v>
      </c>
      <c r="D13" s="15">
        <v>6.3</v>
      </c>
      <c r="E13" s="15">
        <v>11.5</v>
      </c>
      <c r="F13" s="15">
        <v>14</v>
      </c>
      <c r="G13" s="15">
        <v>3.5</v>
      </c>
      <c r="H13" s="15">
        <v>3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14">
        <v>12</v>
      </c>
      <c r="B14" s="15" t="s">
        <v>139</v>
      </c>
      <c r="C14" s="15" t="s">
        <v>140</v>
      </c>
      <c r="D14" s="15">
        <v>8.8000000000000007</v>
      </c>
      <c r="E14" s="15">
        <v>11.5</v>
      </c>
      <c r="F14" s="15">
        <v>14</v>
      </c>
      <c r="G14" s="15">
        <v>5</v>
      </c>
      <c r="H14" s="15">
        <v>5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14">
        <v>13</v>
      </c>
      <c r="B15" s="15" t="s">
        <v>141</v>
      </c>
      <c r="C15" s="15" t="s">
        <v>142</v>
      </c>
      <c r="D15" s="15">
        <v>4.4000000000000004</v>
      </c>
      <c r="E15" s="15">
        <v>11.5</v>
      </c>
      <c r="F15" s="15">
        <v>12.5</v>
      </c>
      <c r="G15" s="15">
        <v>3</v>
      </c>
      <c r="H15" s="15">
        <v>3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2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2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2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2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2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2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2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2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2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2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2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2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2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2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2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2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2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2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2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2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2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2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2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2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2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2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2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2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2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2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2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2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2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2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2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2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2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2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2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2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2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2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2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2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2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2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2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2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2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2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2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2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2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2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2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2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2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2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2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2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2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2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2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2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2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2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2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2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2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2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2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2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2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2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2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x14ac:dyDescent="0.2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x14ac:dyDescent="0.2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x14ac:dyDescent="0.2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x14ac:dyDescent="0.2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x14ac:dyDescent="0.2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x14ac:dyDescent="0.2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x14ac:dyDescent="0.2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x14ac:dyDescent="0.2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x14ac:dyDescent="0.2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x14ac:dyDescent="0.2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x14ac:dyDescent="0.2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x14ac:dyDescent="0.2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x14ac:dyDescent="0.2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x14ac:dyDescent="0.2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x14ac:dyDescent="0.2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x14ac:dyDescent="0.2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x14ac:dyDescent="0.2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x14ac:dyDescent="0.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x14ac:dyDescent="0.2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x14ac:dyDescent="0.2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x14ac:dyDescent="0.2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x14ac:dyDescent="0.2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x14ac:dyDescent="0.2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x14ac:dyDescent="0.2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x14ac:dyDescent="0.2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x14ac:dyDescent="0.2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x14ac:dyDescent="0.2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x14ac:dyDescent="0.2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x14ac:dyDescent="0.2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x14ac:dyDescent="0.2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x14ac:dyDescent="0.2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x14ac:dyDescent="0.2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x14ac:dyDescent="0.2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x14ac:dyDescent="0.2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x14ac:dyDescent="0.2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x14ac:dyDescent="0.2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x14ac:dyDescent="0.2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x14ac:dyDescent="0.2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x14ac:dyDescent="0.2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x14ac:dyDescent="0.2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x14ac:dyDescent="0.2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x14ac:dyDescent="0.2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x14ac:dyDescent="0.2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x14ac:dyDescent="0.2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x14ac:dyDescent="0.2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x14ac:dyDescent="0.2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x14ac:dyDescent="0.2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x14ac:dyDescent="0.2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x14ac:dyDescent="0.2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x14ac:dyDescent="0.2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x14ac:dyDescent="0.2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x14ac:dyDescent="0.2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x14ac:dyDescent="0.2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x14ac:dyDescent="0.2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x14ac:dyDescent="0.2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x14ac:dyDescent="0.2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x14ac:dyDescent="0.2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x14ac:dyDescent="0.2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x14ac:dyDescent="0.2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x14ac:dyDescent="0.2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x14ac:dyDescent="0.2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x14ac:dyDescent="0.2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x14ac:dyDescent="0.2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x14ac:dyDescent="0.2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x14ac:dyDescent="0.2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x14ac:dyDescent="0.2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x14ac:dyDescent="0.2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x14ac:dyDescent="0.2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x14ac:dyDescent="0.2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x14ac:dyDescent="0.2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x14ac:dyDescent="0.2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x14ac:dyDescent="0.2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x14ac:dyDescent="0.2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x14ac:dyDescent="0.2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x14ac:dyDescent="0.2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x14ac:dyDescent="0.2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x14ac:dyDescent="0.2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x14ac:dyDescent="0.2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x14ac:dyDescent="0.2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x14ac:dyDescent="0.2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x14ac:dyDescent="0.2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x14ac:dyDescent="0.2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x14ac:dyDescent="0.2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x14ac:dyDescent="0.2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x14ac:dyDescent="0.2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x14ac:dyDescent="0.2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x14ac:dyDescent="0.2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x14ac:dyDescent="0.2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x14ac:dyDescent="0.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x14ac:dyDescent="0.2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x14ac:dyDescent="0.2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x14ac:dyDescent="0.2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x14ac:dyDescent="0.2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x14ac:dyDescent="0.2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x14ac:dyDescent="0.2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x14ac:dyDescent="0.2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x14ac:dyDescent="0.2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x14ac:dyDescent="0.2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x14ac:dyDescent="0.2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x14ac:dyDescent="0.2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x14ac:dyDescent="0.2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x14ac:dyDescent="0.2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x14ac:dyDescent="0.2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x14ac:dyDescent="0.2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x14ac:dyDescent="0.2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x14ac:dyDescent="0.2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x14ac:dyDescent="0.2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x14ac:dyDescent="0.2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x14ac:dyDescent="0.2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x14ac:dyDescent="0.2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x14ac:dyDescent="0.2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x14ac:dyDescent="0.2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x14ac:dyDescent="0.2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x14ac:dyDescent="0.2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x14ac:dyDescent="0.2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x14ac:dyDescent="0.2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x14ac:dyDescent="0.2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x14ac:dyDescent="0.2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x14ac:dyDescent="0.2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x14ac:dyDescent="0.2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x14ac:dyDescent="0.2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x14ac:dyDescent="0.2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x14ac:dyDescent="0.2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x14ac:dyDescent="0.2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x14ac:dyDescent="0.2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x14ac:dyDescent="0.2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x14ac:dyDescent="0.2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x14ac:dyDescent="0.2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x14ac:dyDescent="0.2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x14ac:dyDescent="0.2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x14ac:dyDescent="0.2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x14ac:dyDescent="0.2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x14ac:dyDescent="0.2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x14ac:dyDescent="0.2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x14ac:dyDescent="0.2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x14ac:dyDescent="0.2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x14ac:dyDescent="0.2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x14ac:dyDescent="0.2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x14ac:dyDescent="0.2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x14ac:dyDescent="0.2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x14ac:dyDescent="0.2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x14ac:dyDescent="0.2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x14ac:dyDescent="0.2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x14ac:dyDescent="0.2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x14ac:dyDescent="0.2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x14ac:dyDescent="0.2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x14ac:dyDescent="0.2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x14ac:dyDescent="0.2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x14ac:dyDescent="0.2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x14ac:dyDescent="0.2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x14ac:dyDescent="0.2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x14ac:dyDescent="0.2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x14ac:dyDescent="0.2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x14ac:dyDescent="0.2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x14ac:dyDescent="0.2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x14ac:dyDescent="0.2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x14ac:dyDescent="0.2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x14ac:dyDescent="0.2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x14ac:dyDescent="0.2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x14ac:dyDescent="0.2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x14ac:dyDescent="0.2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x14ac:dyDescent="0.2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x14ac:dyDescent="0.2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x14ac:dyDescent="0.2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x14ac:dyDescent="0.2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x14ac:dyDescent="0.2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x14ac:dyDescent="0.2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x14ac:dyDescent="0.2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x14ac:dyDescent="0.2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x14ac:dyDescent="0.2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x14ac:dyDescent="0.2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x14ac:dyDescent="0.2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x14ac:dyDescent="0.2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x14ac:dyDescent="0.2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x14ac:dyDescent="0.2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x14ac:dyDescent="0.2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x14ac:dyDescent="0.2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x14ac:dyDescent="0.2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x14ac:dyDescent="0.2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x14ac:dyDescent="0.2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x14ac:dyDescent="0.2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x14ac:dyDescent="0.2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x14ac:dyDescent="0.2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x14ac:dyDescent="0.2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x14ac:dyDescent="0.2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x14ac:dyDescent="0.2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x14ac:dyDescent="0.2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x14ac:dyDescent="0.2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x14ac:dyDescent="0.2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x14ac:dyDescent="0.2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x14ac:dyDescent="0.2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x14ac:dyDescent="0.2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x14ac:dyDescent="0.2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x14ac:dyDescent="0.2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x14ac:dyDescent="0.2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x14ac:dyDescent="0.2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x14ac:dyDescent="0.2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x14ac:dyDescent="0.2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x14ac:dyDescent="0.2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x14ac:dyDescent="0.2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x14ac:dyDescent="0.2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x14ac:dyDescent="0.2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x14ac:dyDescent="0.2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x14ac:dyDescent="0.2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x14ac:dyDescent="0.2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x14ac:dyDescent="0.2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x14ac:dyDescent="0.2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x14ac:dyDescent="0.2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x14ac:dyDescent="0.2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x14ac:dyDescent="0.2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x14ac:dyDescent="0.2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x14ac:dyDescent="0.2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x14ac:dyDescent="0.2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x14ac:dyDescent="0.2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x14ac:dyDescent="0.2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x14ac:dyDescent="0.2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x14ac:dyDescent="0.2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x14ac:dyDescent="0.2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x14ac:dyDescent="0.2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x14ac:dyDescent="0.2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x14ac:dyDescent="0.2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x14ac:dyDescent="0.2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x14ac:dyDescent="0.2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x14ac:dyDescent="0.2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x14ac:dyDescent="0.2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x14ac:dyDescent="0.2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x14ac:dyDescent="0.2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x14ac:dyDescent="0.2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x14ac:dyDescent="0.2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x14ac:dyDescent="0.2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x14ac:dyDescent="0.2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x14ac:dyDescent="0.2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x14ac:dyDescent="0.2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x14ac:dyDescent="0.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x14ac:dyDescent="0.2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x14ac:dyDescent="0.2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x14ac:dyDescent="0.2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x14ac:dyDescent="0.2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x14ac:dyDescent="0.2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x14ac:dyDescent="0.2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x14ac:dyDescent="0.2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x14ac:dyDescent="0.2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x14ac:dyDescent="0.2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x14ac:dyDescent="0.2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x14ac:dyDescent="0.2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x14ac:dyDescent="0.2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x14ac:dyDescent="0.2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x14ac:dyDescent="0.2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x14ac:dyDescent="0.2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x14ac:dyDescent="0.2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x14ac:dyDescent="0.2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x14ac:dyDescent="0.2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x14ac:dyDescent="0.2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x14ac:dyDescent="0.2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x14ac:dyDescent="0.2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x14ac:dyDescent="0.2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x14ac:dyDescent="0.2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x14ac:dyDescent="0.2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x14ac:dyDescent="0.2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x14ac:dyDescent="0.2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x14ac:dyDescent="0.2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x14ac:dyDescent="0.2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x14ac:dyDescent="0.2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x14ac:dyDescent="0.2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x14ac:dyDescent="0.2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x14ac:dyDescent="0.2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x14ac:dyDescent="0.2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x14ac:dyDescent="0.2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x14ac:dyDescent="0.2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x14ac:dyDescent="0.2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x14ac:dyDescent="0.2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x14ac:dyDescent="0.2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x14ac:dyDescent="0.2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x14ac:dyDescent="0.2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x14ac:dyDescent="0.2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x14ac:dyDescent="0.2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x14ac:dyDescent="0.2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x14ac:dyDescent="0.2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x14ac:dyDescent="0.2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x14ac:dyDescent="0.2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x14ac:dyDescent="0.2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x14ac:dyDescent="0.2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x14ac:dyDescent="0.2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x14ac:dyDescent="0.2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x14ac:dyDescent="0.2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x14ac:dyDescent="0.2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x14ac:dyDescent="0.2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x14ac:dyDescent="0.2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x14ac:dyDescent="0.2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x14ac:dyDescent="0.2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x14ac:dyDescent="0.2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x14ac:dyDescent="0.2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x14ac:dyDescent="0.2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x14ac:dyDescent="0.2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x14ac:dyDescent="0.2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x14ac:dyDescent="0.2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x14ac:dyDescent="0.2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x14ac:dyDescent="0.2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x14ac:dyDescent="0.2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x14ac:dyDescent="0.2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x14ac:dyDescent="0.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x14ac:dyDescent="0.2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x14ac:dyDescent="0.2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x14ac:dyDescent="0.2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x14ac:dyDescent="0.2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x14ac:dyDescent="0.2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x14ac:dyDescent="0.2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x14ac:dyDescent="0.2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x14ac:dyDescent="0.2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x14ac:dyDescent="0.2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x14ac:dyDescent="0.2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x14ac:dyDescent="0.2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x14ac:dyDescent="0.2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x14ac:dyDescent="0.2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x14ac:dyDescent="0.2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x14ac:dyDescent="0.2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x14ac:dyDescent="0.2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x14ac:dyDescent="0.2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x14ac:dyDescent="0.2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x14ac:dyDescent="0.2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x14ac:dyDescent="0.2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x14ac:dyDescent="0.2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x14ac:dyDescent="0.2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x14ac:dyDescent="0.2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x14ac:dyDescent="0.2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x14ac:dyDescent="0.2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x14ac:dyDescent="0.2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x14ac:dyDescent="0.2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x14ac:dyDescent="0.2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x14ac:dyDescent="0.2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x14ac:dyDescent="0.2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x14ac:dyDescent="0.2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x14ac:dyDescent="0.2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x14ac:dyDescent="0.2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x14ac:dyDescent="0.2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x14ac:dyDescent="0.2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x14ac:dyDescent="0.2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x14ac:dyDescent="0.2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x14ac:dyDescent="0.2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000"/>
  <sheetViews>
    <sheetView topLeftCell="B1" zoomScale="141" zoomScaleNormal="141" workbookViewId="0">
      <selection activeCell="B11" sqref="B11"/>
    </sheetView>
  </sheetViews>
  <sheetFormatPr defaultColWidth="12.6640625" defaultRowHeight="15.75" customHeight="1" x14ac:dyDescent="0.25"/>
  <cols>
    <col min="1" max="1" width="11.21875" bestFit="1" customWidth="1"/>
    <col min="2" max="2" width="22.109375" bestFit="1" customWidth="1"/>
    <col min="3" max="3" width="10.88671875" bestFit="1" customWidth="1"/>
    <col min="4" max="7" width="5.6640625" bestFit="1" customWidth="1"/>
    <col min="8" max="11" width="6" bestFit="1" customWidth="1"/>
    <col min="12" max="15" width="7" bestFit="1" customWidth="1"/>
    <col min="16" max="19" width="5.6640625" bestFit="1" customWidth="1"/>
    <col min="20" max="23" width="6" bestFit="1" customWidth="1"/>
  </cols>
  <sheetData>
    <row r="1" spans="1:28" x14ac:dyDescent="0.25">
      <c r="A1" s="38" t="s">
        <v>143</v>
      </c>
      <c r="B1" s="38" t="s">
        <v>1</v>
      </c>
      <c r="C1" s="16"/>
      <c r="D1" s="40" t="s">
        <v>95</v>
      </c>
      <c r="E1" s="41"/>
      <c r="F1" s="41"/>
      <c r="G1" s="42"/>
      <c r="H1" s="36" t="s">
        <v>144</v>
      </c>
      <c r="I1" s="37"/>
      <c r="J1" s="37"/>
      <c r="K1" s="37"/>
      <c r="L1" s="36" t="s">
        <v>145</v>
      </c>
      <c r="M1" s="37"/>
      <c r="N1" s="37"/>
      <c r="O1" s="37"/>
      <c r="P1" s="36" t="s">
        <v>146</v>
      </c>
      <c r="Q1" s="37"/>
      <c r="R1" s="37"/>
      <c r="S1" s="37"/>
      <c r="T1" s="36" t="s">
        <v>147</v>
      </c>
      <c r="U1" s="37"/>
      <c r="V1" s="37"/>
      <c r="W1" s="37"/>
      <c r="X1" s="6"/>
      <c r="Y1" s="6"/>
      <c r="Z1" s="6"/>
      <c r="AA1" s="6"/>
      <c r="AB1" s="17"/>
    </row>
    <row r="2" spans="1:28" x14ac:dyDescent="0.25">
      <c r="A2" s="39"/>
      <c r="B2" s="39"/>
      <c r="C2" s="16" t="s">
        <v>77</v>
      </c>
      <c r="D2" s="16" t="s">
        <v>81</v>
      </c>
      <c r="E2" s="16" t="s">
        <v>84</v>
      </c>
      <c r="F2" s="16" t="s">
        <v>87</v>
      </c>
      <c r="G2" s="16" t="s">
        <v>90</v>
      </c>
      <c r="H2" s="16" t="s">
        <v>81</v>
      </c>
      <c r="I2" s="16" t="s">
        <v>84</v>
      </c>
      <c r="J2" s="16" t="s">
        <v>87</v>
      </c>
      <c r="K2" s="16" t="s">
        <v>90</v>
      </c>
      <c r="L2" s="16" t="s">
        <v>81</v>
      </c>
      <c r="M2" s="16" t="s">
        <v>84</v>
      </c>
      <c r="N2" s="16" t="s">
        <v>87</v>
      </c>
      <c r="O2" s="16" t="s">
        <v>90</v>
      </c>
      <c r="P2" s="16" t="s">
        <v>81</v>
      </c>
      <c r="Q2" s="16" t="s">
        <v>84</v>
      </c>
      <c r="R2" s="16" t="s">
        <v>87</v>
      </c>
      <c r="S2" s="16" t="s">
        <v>90</v>
      </c>
      <c r="T2" s="16" t="s">
        <v>81</v>
      </c>
      <c r="U2" s="16" t="s">
        <v>84</v>
      </c>
      <c r="V2" s="16" t="s">
        <v>87</v>
      </c>
      <c r="W2" s="16" t="s">
        <v>90</v>
      </c>
      <c r="X2" s="6"/>
      <c r="Y2" s="6"/>
      <c r="Z2" s="6"/>
      <c r="AA2" s="6"/>
      <c r="AB2" s="17"/>
    </row>
    <row r="3" spans="1:28" x14ac:dyDescent="0.25">
      <c r="A3" s="18" t="s">
        <v>117</v>
      </c>
      <c r="B3" s="18" t="s">
        <v>118</v>
      </c>
      <c r="C3" s="19" t="s">
        <v>148</v>
      </c>
      <c r="D3" s="20">
        <f>Assessments!$C$2*'IA Marks'!H3</f>
        <v>0.75</v>
      </c>
      <c r="E3" s="20">
        <f>Assessments!$D$2*'IA Marks'!H3</f>
        <v>0.75</v>
      </c>
      <c r="F3" s="20">
        <f>Assessments!$E$2*'IA Marks'!H3</f>
        <v>0.75</v>
      </c>
      <c r="G3" s="20">
        <f>Assessments!$F$2*'IA Marks'!H3</f>
        <v>0.75</v>
      </c>
      <c r="H3" s="20">
        <f>Assessments!$C$3*'IA Marks'!G3</f>
        <v>1</v>
      </c>
      <c r="I3" s="20">
        <f>Assessments!$D$3*'IA Marks'!G3</f>
        <v>1</v>
      </c>
      <c r="J3" s="20">
        <f>Assessments!$E$3*'IA Marks'!G3</f>
        <v>1</v>
      </c>
      <c r="K3" s="20">
        <f>Assessments!$F$3*'IA Marks'!G3</f>
        <v>1</v>
      </c>
      <c r="L3" s="20">
        <f>Assessments!$C$4*'IA Marks'!D3</f>
        <v>2.9050000000000002</v>
      </c>
      <c r="M3" s="20">
        <f>Assessments!$D$4*'IA Marks'!D3</f>
        <v>2.9050000000000002</v>
      </c>
      <c r="N3" s="20">
        <f>Assessments!$E$4*'IA Marks'!D3</f>
        <v>1.2450000000000001</v>
      </c>
      <c r="O3" s="20">
        <f>Assessments!$F$4*'IA Marks'!D3</f>
        <v>1.2450000000000001</v>
      </c>
      <c r="P3" s="20">
        <f>Assessments!$C$5*'IA Marks'!E3</f>
        <v>1.2000000000000002</v>
      </c>
      <c r="Q3" s="20">
        <f>Assessments!$D$5*'IA Marks'!E3</f>
        <v>6</v>
      </c>
      <c r="R3" s="20">
        <f>Assessments!$E$5*'IA Marks'!E3</f>
        <v>2.4000000000000004</v>
      </c>
      <c r="S3" s="20">
        <f>Assessments!$F$5*'IA Marks'!E3</f>
        <v>2.4000000000000004</v>
      </c>
      <c r="T3" s="20">
        <f>Assessments!$C$6*'IA Marks'!F3</f>
        <v>4.55</v>
      </c>
      <c r="U3" s="20">
        <f>Assessments!$D$6*'IA Marks'!F3</f>
        <v>4.55</v>
      </c>
      <c r="V3" s="20">
        <f>Assessments!$E$6*'IA Marks'!F3</f>
        <v>1.95</v>
      </c>
      <c r="W3" s="20">
        <f>Assessments!$F$6*'IA Marks'!F3</f>
        <v>1.95</v>
      </c>
      <c r="X3" s="9"/>
      <c r="Y3" s="9"/>
      <c r="Z3" s="9"/>
      <c r="AA3" s="9"/>
      <c r="AB3" s="21"/>
    </row>
    <row r="4" spans="1:28" x14ac:dyDescent="0.25">
      <c r="A4" s="18" t="s">
        <v>119</v>
      </c>
      <c r="B4" s="18" t="s">
        <v>120</v>
      </c>
      <c r="C4" s="19" t="s">
        <v>149</v>
      </c>
      <c r="D4" s="20">
        <f>Assessments!$C$2*'IA Marks'!H4</f>
        <v>0.75</v>
      </c>
      <c r="E4" s="20">
        <f>Assessments!$D$2*'IA Marks'!H4</f>
        <v>0.75</v>
      </c>
      <c r="F4" s="20">
        <f>Assessments!$E$2*'IA Marks'!H4</f>
        <v>0.75</v>
      </c>
      <c r="G4" s="20">
        <f>Assessments!$F$2*'IA Marks'!H4</f>
        <v>0.75</v>
      </c>
      <c r="H4" s="20">
        <f>Assessments!$C$3*'IA Marks'!G4</f>
        <v>1</v>
      </c>
      <c r="I4" s="20">
        <f>Assessments!$D$3*'IA Marks'!G4</f>
        <v>1</v>
      </c>
      <c r="J4" s="20">
        <f>Assessments!$E$3*'IA Marks'!G4</f>
        <v>1</v>
      </c>
      <c r="K4" s="20">
        <f>Assessments!$F$3*'IA Marks'!G4</f>
        <v>1</v>
      </c>
      <c r="L4" s="20">
        <f>Assessments!$C$4*'IA Marks'!D4</f>
        <v>2.8874999999999997</v>
      </c>
      <c r="M4" s="20">
        <f>Assessments!$D$4*'IA Marks'!D4</f>
        <v>2.8874999999999997</v>
      </c>
      <c r="N4" s="20">
        <f>Assessments!$E$4*'IA Marks'!D4</f>
        <v>1.2375</v>
      </c>
      <c r="O4" s="20">
        <f>Assessments!$F$4*'IA Marks'!D4</f>
        <v>1.2375</v>
      </c>
      <c r="P4" s="20">
        <f>Assessments!$C$5*'IA Marks'!E4</f>
        <v>1.2000000000000002</v>
      </c>
      <c r="Q4" s="20">
        <f>Assessments!$D$5*'IA Marks'!E4</f>
        <v>6</v>
      </c>
      <c r="R4" s="20">
        <f>Assessments!$E$5*'IA Marks'!E4</f>
        <v>2.4000000000000004</v>
      </c>
      <c r="S4" s="20">
        <f>Assessments!$F$5*'IA Marks'!E4</f>
        <v>2.4000000000000004</v>
      </c>
      <c r="T4" s="20">
        <f>Assessments!$C$6*'IA Marks'!F4</f>
        <v>4.55</v>
      </c>
      <c r="U4" s="20">
        <f>Assessments!$D$6*'IA Marks'!F4</f>
        <v>4.55</v>
      </c>
      <c r="V4" s="20">
        <f>Assessments!$E$6*'IA Marks'!F4</f>
        <v>1.95</v>
      </c>
      <c r="W4" s="20">
        <f>Assessments!$F$6*'IA Marks'!F4</f>
        <v>1.95</v>
      </c>
      <c r="X4" s="9"/>
      <c r="Y4" s="9"/>
      <c r="Z4" s="9"/>
      <c r="AA4" s="9"/>
      <c r="AB4" s="21"/>
    </row>
    <row r="5" spans="1:28" x14ac:dyDescent="0.25">
      <c r="A5" s="18" t="s">
        <v>121</v>
      </c>
      <c r="B5" s="18" t="s">
        <v>122</v>
      </c>
      <c r="C5" s="19" t="s">
        <v>150</v>
      </c>
      <c r="D5" s="20">
        <f>Assessments!$C$2*'IA Marks'!H5</f>
        <v>1.25</v>
      </c>
      <c r="E5" s="20">
        <f>Assessments!$D$2*'IA Marks'!H5</f>
        <v>1.25</v>
      </c>
      <c r="F5" s="20">
        <f>Assessments!$E$2*'IA Marks'!H5</f>
        <v>1.25</v>
      </c>
      <c r="G5" s="20">
        <f>Assessments!$F$2*'IA Marks'!H5</f>
        <v>1.25</v>
      </c>
      <c r="H5" s="20">
        <f>Assessments!$C$3*'IA Marks'!G5</f>
        <v>1.25</v>
      </c>
      <c r="I5" s="20">
        <f>Assessments!$D$3*'IA Marks'!G5</f>
        <v>1.25</v>
      </c>
      <c r="J5" s="20">
        <f>Assessments!$E$3*'IA Marks'!G5</f>
        <v>1.25</v>
      </c>
      <c r="K5" s="20">
        <f>Assessments!$F$3*'IA Marks'!G5</f>
        <v>1.25</v>
      </c>
      <c r="L5" s="20">
        <f>Assessments!$C$4*'IA Marks'!D5</f>
        <v>3.3249999999999997</v>
      </c>
      <c r="M5" s="20">
        <f>Assessments!$D$4*'IA Marks'!D5</f>
        <v>3.3249999999999997</v>
      </c>
      <c r="N5" s="20">
        <f>Assessments!$E$4*'IA Marks'!D5</f>
        <v>1.425</v>
      </c>
      <c r="O5" s="20">
        <f>Assessments!$F$4*'IA Marks'!D5</f>
        <v>1.425</v>
      </c>
      <c r="P5" s="20">
        <f>Assessments!$C$5*'IA Marks'!E5</f>
        <v>1.25</v>
      </c>
      <c r="Q5" s="20">
        <f>Assessments!$D$5*'IA Marks'!E5</f>
        <v>6.25</v>
      </c>
      <c r="R5" s="20">
        <f>Assessments!$E$5*'IA Marks'!E5</f>
        <v>2.5</v>
      </c>
      <c r="S5" s="20">
        <f>Assessments!$F$5*'IA Marks'!E5</f>
        <v>2.5</v>
      </c>
      <c r="T5" s="20">
        <f>Assessments!$C$6*'IA Marks'!F5</f>
        <v>4.8999999999999995</v>
      </c>
      <c r="U5" s="20">
        <f>Assessments!$D$6*'IA Marks'!F5</f>
        <v>4.8999999999999995</v>
      </c>
      <c r="V5" s="20">
        <f>Assessments!$E$6*'IA Marks'!F5</f>
        <v>2.1</v>
      </c>
      <c r="W5" s="20">
        <f>Assessments!$F$6*'IA Marks'!F5</f>
        <v>2.1</v>
      </c>
      <c r="X5" s="9"/>
      <c r="Y5" s="9"/>
      <c r="Z5" s="9"/>
      <c r="AA5" s="9"/>
      <c r="AB5" s="21"/>
    </row>
    <row r="6" spans="1:28" x14ac:dyDescent="0.25">
      <c r="A6" s="18" t="s">
        <v>123</v>
      </c>
      <c r="B6" s="18" t="s">
        <v>124</v>
      </c>
      <c r="C6" s="19" t="s">
        <v>151</v>
      </c>
      <c r="D6" s="20">
        <f>Assessments!$C$2*'IA Marks'!H6</f>
        <v>0.75</v>
      </c>
      <c r="E6" s="20">
        <f>Assessments!$D$2*'IA Marks'!H6</f>
        <v>0.75</v>
      </c>
      <c r="F6" s="20">
        <f>Assessments!$E$2*'IA Marks'!H6</f>
        <v>0.75</v>
      </c>
      <c r="G6" s="20">
        <f>Assessments!$F$2*'IA Marks'!H6</f>
        <v>0.75</v>
      </c>
      <c r="H6" s="20">
        <f>Assessments!$C$3*'IA Marks'!G6</f>
        <v>1.125</v>
      </c>
      <c r="I6" s="20">
        <f>Assessments!$D$3*'IA Marks'!G6</f>
        <v>1.125</v>
      </c>
      <c r="J6" s="20">
        <f>Assessments!$E$3*'IA Marks'!G6</f>
        <v>1.125</v>
      </c>
      <c r="K6" s="20">
        <f>Assessments!$F$3*'IA Marks'!G6</f>
        <v>1.125</v>
      </c>
      <c r="L6" s="20">
        <f>Assessments!$C$4*'IA Marks'!D6</f>
        <v>2.2574999999999998</v>
      </c>
      <c r="M6" s="20">
        <f>Assessments!$D$4*'IA Marks'!D6</f>
        <v>2.2574999999999998</v>
      </c>
      <c r="N6" s="20">
        <f>Assessments!$E$4*'IA Marks'!D6</f>
        <v>0.96750000000000003</v>
      </c>
      <c r="O6" s="20">
        <f>Assessments!$F$4*'IA Marks'!D6</f>
        <v>0.96750000000000003</v>
      </c>
      <c r="P6" s="20">
        <f>Assessments!$C$5*'IA Marks'!E6</f>
        <v>1.05</v>
      </c>
      <c r="Q6" s="20">
        <f>Assessments!$D$5*'IA Marks'!E6</f>
        <v>5.25</v>
      </c>
      <c r="R6" s="20">
        <f>Assessments!$E$5*'IA Marks'!E6</f>
        <v>2.1</v>
      </c>
      <c r="S6" s="20">
        <f>Assessments!$F$5*'IA Marks'!E6</f>
        <v>2.1</v>
      </c>
      <c r="T6" s="20">
        <f>Assessments!$C$6*'IA Marks'!F6</f>
        <v>4.8999999999999995</v>
      </c>
      <c r="U6" s="20">
        <f>Assessments!$D$6*'IA Marks'!F6</f>
        <v>4.8999999999999995</v>
      </c>
      <c r="V6" s="20">
        <f>Assessments!$E$6*'IA Marks'!F6</f>
        <v>2.1</v>
      </c>
      <c r="W6" s="20">
        <f>Assessments!$F$6*'IA Marks'!F6</f>
        <v>2.1</v>
      </c>
      <c r="X6" s="9"/>
      <c r="Y6" s="9"/>
      <c r="Z6" s="9"/>
      <c r="AA6" s="9"/>
      <c r="AB6" s="21"/>
    </row>
    <row r="7" spans="1:28" x14ac:dyDescent="0.25">
      <c r="A7" s="18" t="s">
        <v>125</v>
      </c>
      <c r="B7" s="18" t="s">
        <v>126</v>
      </c>
      <c r="C7" s="19" t="s">
        <v>152</v>
      </c>
      <c r="D7" s="20">
        <f>Assessments!$C$2*'IA Marks'!H7</f>
        <v>1.25</v>
      </c>
      <c r="E7" s="20">
        <f>Assessments!$D$2*'IA Marks'!H7</f>
        <v>1.25</v>
      </c>
      <c r="F7" s="20">
        <f>Assessments!$E$2*'IA Marks'!H7</f>
        <v>1.25</v>
      </c>
      <c r="G7" s="20">
        <f>Assessments!$F$2*'IA Marks'!H7</f>
        <v>1.25</v>
      </c>
      <c r="H7" s="20">
        <f>Assessments!$C$3*'IA Marks'!G7</f>
        <v>1.125</v>
      </c>
      <c r="I7" s="20">
        <f>Assessments!$D$3*'IA Marks'!G7</f>
        <v>1.125</v>
      </c>
      <c r="J7" s="20">
        <f>Assessments!$E$3*'IA Marks'!G7</f>
        <v>1.125</v>
      </c>
      <c r="K7" s="20">
        <f>Assessments!$F$3*'IA Marks'!G7</f>
        <v>1.125</v>
      </c>
      <c r="L7" s="20">
        <f>Assessments!$C$4*'IA Marks'!D7</f>
        <v>2.5549999999999997</v>
      </c>
      <c r="M7" s="20">
        <f>Assessments!$D$4*'IA Marks'!D7</f>
        <v>2.5549999999999997</v>
      </c>
      <c r="N7" s="20">
        <f>Assessments!$E$4*'IA Marks'!D7</f>
        <v>1.095</v>
      </c>
      <c r="O7" s="20">
        <f>Assessments!$F$4*'IA Marks'!D7</f>
        <v>1.095</v>
      </c>
      <c r="P7" s="20">
        <f>Assessments!$C$5*'IA Marks'!E7</f>
        <v>1.1500000000000001</v>
      </c>
      <c r="Q7" s="20">
        <f>Assessments!$D$5*'IA Marks'!E7</f>
        <v>5.75</v>
      </c>
      <c r="R7" s="20">
        <f>Assessments!$E$5*'IA Marks'!E7</f>
        <v>2.3000000000000003</v>
      </c>
      <c r="S7" s="20">
        <f>Assessments!$F$5*'IA Marks'!E7</f>
        <v>2.3000000000000003</v>
      </c>
      <c r="T7" s="20">
        <f>Assessments!$C$6*'IA Marks'!F7</f>
        <v>4.7249999999999996</v>
      </c>
      <c r="U7" s="20">
        <f>Assessments!$D$6*'IA Marks'!F7</f>
        <v>4.7249999999999996</v>
      </c>
      <c r="V7" s="20">
        <f>Assessments!$E$6*'IA Marks'!F7</f>
        <v>2.0249999999999999</v>
      </c>
      <c r="W7" s="20">
        <f>Assessments!$F$6*'IA Marks'!F7</f>
        <v>2.0249999999999999</v>
      </c>
      <c r="X7" s="9"/>
      <c r="Y7" s="9"/>
      <c r="Z7" s="9"/>
      <c r="AA7" s="9"/>
      <c r="AB7" s="21"/>
    </row>
    <row r="8" spans="1:28" x14ac:dyDescent="0.25">
      <c r="A8" s="18" t="s">
        <v>127</v>
      </c>
      <c r="B8" s="18" t="s">
        <v>128</v>
      </c>
      <c r="C8" s="19" t="s">
        <v>153</v>
      </c>
      <c r="D8" s="20">
        <f>Assessments!$C$2*'IA Marks'!H8</f>
        <v>0.75</v>
      </c>
      <c r="E8" s="20">
        <f>Assessments!$D$2*'IA Marks'!H8</f>
        <v>0.75</v>
      </c>
      <c r="F8" s="20">
        <f>Assessments!$E$2*'IA Marks'!H8</f>
        <v>0.75</v>
      </c>
      <c r="G8" s="20">
        <f>Assessments!$F$2*'IA Marks'!H8</f>
        <v>0.75</v>
      </c>
      <c r="H8" s="20">
        <f>Assessments!$C$3*'IA Marks'!G8</f>
        <v>1</v>
      </c>
      <c r="I8" s="20">
        <f>Assessments!$D$3*'IA Marks'!G8</f>
        <v>1</v>
      </c>
      <c r="J8" s="20">
        <f>Assessments!$E$3*'IA Marks'!G8</f>
        <v>1</v>
      </c>
      <c r="K8" s="20">
        <f>Assessments!$F$3*'IA Marks'!G8</f>
        <v>1</v>
      </c>
      <c r="L8" s="20">
        <f>Assessments!$C$4*'IA Marks'!D8</f>
        <v>2.2049999999999996</v>
      </c>
      <c r="M8" s="20">
        <f>Assessments!$D$4*'IA Marks'!D8</f>
        <v>2.2049999999999996</v>
      </c>
      <c r="N8" s="20">
        <f>Assessments!$E$4*'IA Marks'!D8</f>
        <v>0.94499999999999995</v>
      </c>
      <c r="O8" s="20">
        <f>Assessments!$F$4*'IA Marks'!D8</f>
        <v>0.94499999999999995</v>
      </c>
      <c r="P8" s="20">
        <f>Assessments!$C$5*'IA Marks'!E8</f>
        <v>1.1000000000000001</v>
      </c>
      <c r="Q8" s="20">
        <f>Assessments!$D$5*'IA Marks'!E8</f>
        <v>5.5</v>
      </c>
      <c r="R8" s="20">
        <f>Assessments!$E$5*'IA Marks'!E8</f>
        <v>2.2000000000000002</v>
      </c>
      <c r="S8" s="20">
        <f>Assessments!$F$5*'IA Marks'!E8</f>
        <v>2.2000000000000002</v>
      </c>
      <c r="T8" s="20">
        <f>Assessments!$C$6*'IA Marks'!F8</f>
        <v>4.7249999999999996</v>
      </c>
      <c r="U8" s="20">
        <f>Assessments!$D$6*'IA Marks'!F8</f>
        <v>4.7249999999999996</v>
      </c>
      <c r="V8" s="20">
        <f>Assessments!$E$6*'IA Marks'!F8</f>
        <v>2.0249999999999999</v>
      </c>
      <c r="W8" s="20">
        <f>Assessments!$F$6*'IA Marks'!F8</f>
        <v>2.0249999999999999</v>
      </c>
      <c r="X8" s="9"/>
      <c r="Y8" s="9"/>
      <c r="Z8" s="9"/>
      <c r="AA8" s="9"/>
      <c r="AB8" s="21"/>
    </row>
    <row r="9" spans="1:28" x14ac:dyDescent="0.25">
      <c r="A9" s="18" t="s">
        <v>129</v>
      </c>
      <c r="B9" s="18" t="s">
        <v>130</v>
      </c>
      <c r="C9" s="19" t="s">
        <v>154</v>
      </c>
      <c r="D9" s="20">
        <f>Assessments!$C$2*'IA Marks'!H9</f>
        <v>0.75</v>
      </c>
      <c r="E9" s="20">
        <f>Assessments!$D$2*'IA Marks'!H9</f>
        <v>0.75</v>
      </c>
      <c r="F9" s="20">
        <f>Assessments!$E$2*'IA Marks'!H9</f>
        <v>0.75</v>
      </c>
      <c r="G9" s="20">
        <f>Assessments!$F$2*'IA Marks'!H9</f>
        <v>0.75</v>
      </c>
      <c r="H9" s="20">
        <f>Assessments!$C$3*'IA Marks'!G9</f>
        <v>1.125</v>
      </c>
      <c r="I9" s="20">
        <f>Assessments!$D$3*'IA Marks'!G9</f>
        <v>1.125</v>
      </c>
      <c r="J9" s="20">
        <f>Assessments!$E$3*'IA Marks'!G9</f>
        <v>1.125</v>
      </c>
      <c r="K9" s="20">
        <f>Assessments!$F$3*'IA Marks'!G9</f>
        <v>1.125</v>
      </c>
      <c r="L9" s="20">
        <f>Assessments!$C$4*'IA Marks'!D9</f>
        <v>2.5724999999999998</v>
      </c>
      <c r="M9" s="20">
        <f>Assessments!$D$4*'IA Marks'!D9</f>
        <v>2.5724999999999998</v>
      </c>
      <c r="N9" s="20">
        <f>Assessments!$E$4*'IA Marks'!D9</f>
        <v>1.1024999999999998</v>
      </c>
      <c r="O9" s="20">
        <f>Assessments!$F$4*'IA Marks'!D9</f>
        <v>1.1024999999999998</v>
      </c>
      <c r="P9" s="20">
        <f>Assessments!$C$5*'IA Marks'!E9</f>
        <v>1.1000000000000001</v>
      </c>
      <c r="Q9" s="20">
        <f>Assessments!$D$5*'IA Marks'!E9</f>
        <v>5.5</v>
      </c>
      <c r="R9" s="20">
        <f>Assessments!$E$5*'IA Marks'!E9</f>
        <v>2.2000000000000002</v>
      </c>
      <c r="S9" s="20">
        <f>Assessments!$F$5*'IA Marks'!E9</f>
        <v>2.2000000000000002</v>
      </c>
      <c r="T9" s="20">
        <f>Assessments!$C$6*'IA Marks'!F9</f>
        <v>4.7249999999999996</v>
      </c>
      <c r="U9" s="20">
        <f>Assessments!$D$6*'IA Marks'!F9</f>
        <v>4.7249999999999996</v>
      </c>
      <c r="V9" s="20">
        <f>Assessments!$E$6*'IA Marks'!F9</f>
        <v>2.0249999999999999</v>
      </c>
      <c r="W9" s="20">
        <f>Assessments!$F$6*'IA Marks'!F9</f>
        <v>2.0249999999999999</v>
      </c>
      <c r="X9" s="9"/>
      <c r="Y9" s="9"/>
      <c r="Z9" s="9"/>
      <c r="AA9" s="9"/>
      <c r="AB9" s="21"/>
    </row>
    <row r="10" spans="1:28" x14ac:dyDescent="0.25">
      <c r="A10" s="18" t="s">
        <v>131</v>
      </c>
      <c r="B10" s="18" t="s">
        <v>132</v>
      </c>
      <c r="C10" s="19" t="s">
        <v>155</v>
      </c>
      <c r="D10" s="20">
        <f>Assessments!$C$2*'IA Marks'!H10</f>
        <v>0.75</v>
      </c>
      <c r="E10" s="20">
        <f>Assessments!$D$2*'IA Marks'!H10</f>
        <v>0.75</v>
      </c>
      <c r="F10" s="20">
        <f>Assessments!$E$2*'IA Marks'!H10</f>
        <v>0.75</v>
      </c>
      <c r="G10" s="20">
        <f>Assessments!$F$2*'IA Marks'!H10</f>
        <v>0.75</v>
      </c>
      <c r="H10" s="20">
        <f>Assessments!$C$3*'IA Marks'!G10</f>
        <v>0.875</v>
      </c>
      <c r="I10" s="20">
        <f>Assessments!$D$3*'IA Marks'!G10</f>
        <v>0.875</v>
      </c>
      <c r="J10" s="20">
        <f>Assessments!$E$3*'IA Marks'!G10</f>
        <v>0.875</v>
      </c>
      <c r="K10" s="20">
        <f>Assessments!$F$3*'IA Marks'!G10</f>
        <v>0.875</v>
      </c>
      <c r="L10" s="20">
        <f>Assessments!$C$4*'IA Marks'!D10</f>
        <v>1.54</v>
      </c>
      <c r="M10" s="20">
        <f>Assessments!$D$4*'IA Marks'!D10</f>
        <v>1.54</v>
      </c>
      <c r="N10" s="20">
        <f>Assessments!$E$4*'IA Marks'!D10</f>
        <v>0.66</v>
      </c>
      <c r="O10" s="20">
        <f>Assessments!$F$4*'IA Marks'!D10</f>
        <v>0.66</v>
      </c>
      <c r="P10" s="20">
        <f>Assessments!$C$5*'IA Marks'!E10</f>
        <v>1.1000000000000001</v>
      </c>
      <c r="Q10" s="20">
        <f>Assessments!$D$5*'IA Marks'!E10</f>
        <v>5.5</v>
      </c>
      <c r="R10" s="20">
        <f>Assessments!$E$5*'IA Marks'!E10</f>
        <v>2.2000000000000002</v>
      </c>
      <c r="S10" s="20">
        <f>Assessments!$F$5*'IA Marks'!E10</f>
        <v>2.2000000000000002</v>
      </c>
      <c r="T10" s="20">
        <f>Assessments!$C$6*'IA Marks'!F10</f>
        <v>4.1999999999999993</v>
      </c>
      <c r="U10" s="20">
        <f>Assessments!$D$6*'IA Marks'!F10</f>
        <v>4.1999999999999993</v>
      </c>
      <c r="V10" s="20">
        <f>Assessments!$E$6*'IA Marks'!F10</f>
        <v>1.7999999999999998</v>
      </c>
      <c r="W10" s="20">
        <f>Assessments!$F$6*'IA Marks'!F10</f>
        <v>1.7999999999999998</v>
      </c>
      <c r="X10" s="9"/>
      <c r="Y10" s="9"/>
      <c r="Z10" s="9"/>
      <c r="AA10" s="9"/>
      <c r="AB10" s="21"/>
    </row>
    <row r="11" spans="1:28" x14ac:dyDescent="0.25">
      <c r="A11" s="18" t="s">
        <v>133</v>
      </c>
      <c r="B11" s="18" t="s">
        <v>134</v>
      </c>
      <c r="C11" s="19" t="s">
        <v>156</v>
      </c>
      <c r="D11" s="20">
        <f>Assessments!$C$2*'IA Marks'!H11</f>
        <v>0.75</v>
      </c>
      <c r="E11" s="20">
        <f>Assessments!$D$2*'IA Marks'!H11</f>
        <v>0.75</v>
      </c>
      <c r="F11" s="20">
        <f>Assessments!$E$2*'IA Marks'!H11</f>
        <v>0.75</v>
      </c>
      <c r="G11" s="20">
        <f>Assessments!$F$2*'IA Marks'!H11</f>
        <v>0.75</v>
      </c>
      <c r="H11" s="20">
        <f>Assessments!$C$3*'IA Marks'!G11</f>
        <v>0.875</v>
      </c>
      <c r="I11" s="20">
        <f>Assessments!$D$3*'IA Marks'!G11</f>
        <v>0.875</v>
      </c>
      <c r="J11" s="20">
        <f>Assessments!$E$3*'IA Marks'!G11</f>
        <v>0.875</v>
      </c>
      <c r="K11" s="20">
        <f>Assessments!$F$3*'IA Marks'!G11</f>
        <v>0.875</v>
      </c>
      <c r="L11" s="20">
        <f>Assessments!$C$4*'IA Marks'!D11</f>
        <v>1.6099999999999999</v>
      </c>
      <c r="M11" s="20">
        <f>Assessments!$D$4*'IA Marks'!D11</f>
        <v>1.6099999999999999</v>
      </c>
      <c r="N11" s="20">
        <f>Assessments!$E$4*'IA Marks'!D11</f>
        <v>0.69</v>
      </c>
      <c r="O11" s="20">
        <f>Assessments!$F$4*'IA Marks'!D11</f>
        <v>0.69</v>
      </c>
      <c r="P11" s="20">
        <f>Assessments!$C$5*'IA Marks'!E11</f>
        <v>1.1000000000000001</v>
      </c>
      <c r="Q11" s="20">
        <f>Assessments!$D$5*'IA Marks'!E11</f>
        <v>5.5</v>
      </c>
      <c r="R11" s="20">
        <f>Assessments!$E$5*'IA Marks'!E11</f>
        <v>2.2000000000000002</v>
      </c>
      <c r="S11" s="20">
        <f>Assessments!$F$5*'IA Marks'!E11</f>
        <v>2.2000000000000002</v>
      </c>
      <c r="T11" s="20">
        <f>Assessments!$C$6*'IA Marks'!F11</f>
        <v>4.1999999999999993</v>
      </c>
      <c r="U11" s="20">
        <f>Assessments!$D$6*'IA Marks'!F11</f>
        <v>4.1999999999999993</v>
      </c>
      <c r="V11" s="20">
        <f>Assessments!$E$6*'IA Marks'!F11</f>
        <v>1.7999999999999998</v>
      </c>
      <c r="W11" s="20">
        <f>Assessments!$F$6*'IA Marks'!F11</f>
        <v>1.7999999999999998</v>
      </c>
      <c r="X11" s="9"/>
      <c r="Y11" s="9"/>
      <c r="Z11" s="9"/>
      <c r="AA11" s="9"/>
      <c r="AB11" s="21"/>
    </row>
    <row r="12" spans="1:28" x14ac:dyDescent="0.25">
      <c r="A12" s="18" t="s">
        <v>135</v>
      </c>
      <c r="B12" s="18" t="s">
        <v>136</v>
      </c>
      <c r="C12" s="19" t="s">
        <v>157</v>
      </c>
      <c r="D12" s="20">
        <f>Assessments!$C$2*'IA Marks'!H12</f>
        <v>1.25</v>
      </c>
      <c r="E12" s="20">
        <f>Assessments!$D$2*'IA Marks'!H12</f>
        <v>1.25</v>
      </c>
      <c r="F12" s="20">
        <f>Assessments!$E$2*'IA Marks'!H12</f>
        <v>1.25</v>
      </c>
      <c r="G12" s="20">
        <f>Assessments!$F$2*'IA Marks'!H12</f>
        <v>1.25</v>
      </c>
      <c r="H12" s="20">
        <f>Assessments!$C$3*'IA Marks'!G12</f>
        <v>1.125</v>
      </c>
      <c r="I12" s="20">
        <f>Assessments!$D$3*'IA Marks'!G12</f>
        <v>1.125</v>
      </c>
      <c r="J12" s="20">
        <f>Assessments!$E$3*'IA Marks'!G12</f>
        <v>1.125</v>
      </c>
      <c r="K12" s="20">
        <f>Assessments!$F$3*'IA Marks'!G12</f>
        <v>1.125</v>
      </c>
      <c r="L12" s="20">
        <f>Assessments!$C$4*'IA Marks'!D12</f>
        <v>2.8699999999999997</v>
      </c>
      <c r="M12" s="20">
        <f>Assessments!$D$4*'IA Marks'!D12</f>
        <v>2.8699999999999997</v>
      </c>
      <c r="N12" s="20">
        <f>Assessments!$E$4*'IA Marks'!D12</f>
        <v>1.2299999999999998</v>
      </c>
      <c r="O12" s="20">
        <f>Assessments!$F$4*'IA Marks'!D12</f>
        <v>1.2299999999999998</v>
      </c>
      <c r="P12" s="20">
        <f>Assessments!$C$5*'IA Marks'!E12</f>
        <v>1.1500000000000001</v>
      </c>
      <c r="Q12" s="20">
        <f>Assessments!$D$5*'IA Marks'!E12</f>
        <v>5.75</v>
      </c>
      <c r="R12" s="20">
        <f>Assessments!$E$5*'IA Marks'!E12</f>
        <v>2.3000000000000003</v>
      </c>
      <c r="S12" s="20">
        <f>Assessments!$F$5*'IA Marks'!E12</f>
        <v>2.3000000000000003</v>
      </c>
      <c r="T12" s="20">
        <f>Assessments!$C$6*'IA Marks'!F12</f>
        <v>4.8999999999999995</v>
      </c>
      <c r="U12" s="20">
        <f>Assessments!$D$6*'IA Marks'!F12</f>
        <v>4.8999999999999995</v>
      </c>
      <c r="V12" s="20">
        <f>Assessments!$E$6*'IA Marks'!F12</f>
        <v>2.1</v>
      </c>
      <c r="W12" s="20">
        <f>Assessments!$F$6*'IA Marks'!F12</f>
        <v>2.1</v>
      </c>
      <c r="X12" s="9"/>
      <c r="Y12" s="9"/>
      <c r="Z12" s="9"/>
      <c r="AA12" s="9"/>
      <c r="AB12" s="21"/>
    </row>
    <row r="13" spans="1:28" x14ac:dyDescent="0.25">
      <c r="A13" s="15" t="s">
        <v>137</v>
      </c>
      <c r="B13" s="15" t="s">
        <v>138</v>
      </c>
      <c r="C13" s="19" t="s">
        <v>158</v>
      </c>
      <c r="D13" s="20">
        <f>Assessments!$C$2*'IA Marks'!H13</f>
        <v>0.75</v>
      </c>
      <c r="E13" s="20">
        <f>Assessments!$D$2*'IA Marks'!H13</f>
        <v>0.75</v>
      </c>
      <c r="F13" s="20">
        <f>Assessments!$E$2*'IA Marks'!H13</f>
        <v>0.75</v>
      </c>
      <c r="G13" s="20">
        <f>Assessments!$F$2*'IA Marks'!H13</f>
        <v>0.75</v>
      </c>
      <c r="H13" s="20">
        <f>Assessments!$C$3*'IA Marks'!G13</f>
        <v>0.875</v>
      </c>
      <c r="I13" s="20">
        <f>Assessments!$D$3*'IA Marks'!G13</f>
        <v>0.875</v>
      </c>
      <c r="J13" s="20">
        <f>Assessments!$E$3*'IA Marks'!G13</f>
        <v>0.875</v>
      </c>
      <c r="K13" s="20">
        <f>Assessments!$F$3*'IA Marks'!G13</f>
        <v>0.875</v>
      </c>
      <c r="L13" s="20">
        <f>Assessments!$C$4*'IA Marks'!D13</f>
        <v>2.2049999999999996</v>
      </c>
      <c r="M13" s="20">
        <f>Assessments!$D$4*'IA Marks'!D13</f>
        <v>2.2049999999999996</v>
      </c>
      <c r="N13" s="20">
        <f>Assessments!$E$4*'IA Marks'!D13</f>
        <v>0.94499999999999995</v>
      </c>
      <c r="O13" s="20">
        <f>Assessments!$F$4*'IA Marks'!D13</f>
        <v>0.94499999999999995</v>
      </c>
      <c r="P13" s="20">
        <f>Assessments!$C$5*'IA Marks'!E13</f>
        <v>1.1500000000000001</v>
      </c>
      <c r="Q13" s="20">
        <f>Assessments!$D$5*'IA Marks'!E13</f>
        <v>5.75</v>
      </c>
      <c r="R13" s="20">
        <f>Assessments!$E$5*'IA Marks'!E13</f>
        <v>2.3000000000000003</v>
      </c>
      <c r="S13" s="20">
        <f>Assessments!$F$5*'IA Marks'!E13</f>
        <v>2.3000000000000003</v>
      </c>
      <c r="T13" s="20">
        <f>Assessments!$C$6*'IA Marks'!F13</f>
        <v>4.8999999999999995</v>
      </c>
      <c r="U13" s="20">
        <f>Assessments!$D$6*'IA Marks'!F13</f>
        <v>4.8999999999999995</v>
      </c>
      <c r="V13" s="20">
        <f>Assessments!$E$6*'IA Marks'!F13</f>
        <v>2.1</v>
      </c>
      <c r="W13" s="20">
        <f>Assessments!$F$6*'IA Marks'!F13</f>
        <v>2.1</v>
      </c>
      <c r="X13" s="9"/>
      <c r="Y13" s="9"/>
      <c r="Z13" s="9"/>
      <c r="AA13" s="9"/>
      <c r="AB13" s="21"/>
    </row>
    <row r="14" spans="1:28" x14ac:dyDescent="0.25">
      <c r="A14" s="15" t="s">
        <v>139</v>
      </c>
      <c r="B14" s="15" t="s">
        <v>140</v>
      </c>
      <c r="C14" s="19" t="s">
        <v>159</v>
      </c>
      <c r="D14" s="20">
        <f>Assessments!$C$2*'IA Marks'!H14</f>
        <v>1.25</v>
      </c>
      <c r="E14" s="20">
        <f>Assessments!$D$2*'IA Marks'!H14</f>
        <v>1.25</v>
      </c>
      <c r="F14" s="20">
        <f>Assessments!$E$2*'IA Marks'!H14</f>
        <v>1.25</v>
      </c>
      <c r="G14" s="20">
        <f>Assessments!$F$2*'IA Marks'!H14</f>
        <v>1.25</v>
      </c>
      <c r="H14" s="20">
        <f>Assessments!$C$3*'IA Marks'!G14</f>
        <v>1.25</v>
      </c>
      <c r="I14" s="20">
        <f>Assessments!$D$3*'IA Marks'!G14</f>
        <v>1.25</v>
      </c>
      <c r="J14" s="20">
        <f>Assessments!$E$3*'IA Marks'!G14</f>
        <v>1.25</v>
      </c>
      <c r="K14" s="20">
        <f>Assessments!$F$3*'IA Marks'!G14</f>
        <v>1.25</v>
      </c>
      <c r="L14" s="20">
        <f>Assessments!$C$4*'IA Marks'!D14</f>
        <v>3.08</v>
      </c>
      <c r="M14" s="20">
        <f>Assessments!$D$4*'IA Marks'!D14</f>
        <v>3.08</v>
      </c>
      <c r="N14" s="20">
        <f>Assessments!$E$4*'IA Marks'!D14</f>
        <v>1.32</v>
      </c>
      <c r="O14" s="20">
        <f>Assessments!$F$4*'IA Marks'!D14</f>
        <v>1.32</v>
      </c>
      <c r="P14" s="20">
        <f>Assessments!$C$5*'IA Marks'!E14</f>
        <v>1.1500000000000001</v>
      </c>
      <c r="Q14" s="20">
        <f>Assessments!$D$5*'IA Marks'!E14</f>
        <v>5.75</v>
      </c>
      <c r="R14" s="20">
        <f>Assessments!$E$5*'IA Marks'!E14</f>
        <v>2.3000000000000003</v>
      </c>
      <c r="S14" s="20">
        <f>Assessments!$F$5*'IA Marks'!E14</f>
        <v>2.3000000000000003</v>
      </c>
      <c r="T14" s="20">
        <f>Assessments!$C$6*'IA Marks'!F14</f>
        <v>4.8999999999999995</v>
      </c>
      <c r="U14" s="20">
        <f>Assessments!$D$6*'IA Marks'!F14</f>
        <v>4.8999999999999995</v>
      </c>
      <c r="V14" s="20">
        <f>Assessments!$E$6*'IA Marks'!F14</f>
        <v>2.1</v>
      </c>
      <c r="W14" s="20">
        <f>Assessments!$F$6*'IA Marks'!F14</f>
        <v>2.1</v>
      </c>
      <c r="X14" s="9"/>
      <c r="Y14" s="9"/>
      <c r="Z14" s="9"/>
      <c r="AA14" s="9"/>
      <c r="AB14" s="21"/>
    </row>
    <row r="15" spans="1:28" x14ac:dyDescent="0.25">
      <c r="A15" s="15" t="s">
        <v>141</v>
      </c>
      <c r="B15" s="15" t="s">
        <v>142</v>
      </c>
      <c r="C15" s="19" t="s">
        <v>160</v>
      </c>
      <c r="D15" s="20">
        <f>Assessments!$C$2*'IA Marks'!H15</f>
        <v>0.75</v>
      </c>
      <c r="E15" s="20">
        <f>Assessments!$D$2*'IA Marks'!H15</f>
        <v>0.75</v>
      </c>
      <c r="F15" s="20">
        <f>Assessments!$E$2*'IA Marks'!H15</f>
        <v>0.75</v>
      </c>
      <c r="G15" s="20">
        <f>Assessments!$F$2*'IA Marks'!H15</f>
        <v>0.75</v>
      </c>
      <c r="H15" s="20">
        <f>Assessments!$C$3*'IA Marks'!G15</f>
        <v>0.75</v>
      </c>
      <c r="I15" s="20">
        <f>Assessments!$D$3*'IA Marks'!G15</f>
        <v>0.75</v>
      </c>
      <c r="J15" s="20">
        <f>Assessments!$E$3*'IA Marks'!G15</f>
        <v>0.75</v>
      </c>
      <c r="K15" s="20">
        <f>Assessments!$F$3*'IA Marks'!G15</f>
        <v>0.75</v>
      </c>
      <c r="L15" s="20">
        <f>Assessments!$C$4*'IA Marks'!D15</f>
        <v>1.54</v>
      </c>
      <c r="M15" s="20">
        <f>Assessments!$D$4*'IA Marks'!D15</f>
        <v>1.54</v>
      </c>
      <c r="N15" s="20">
        <f>Assessments!$E$4*'IA Marks'!D15</f>
        <v>0.66</v>
      </c>
      <c r="O15" s="20">
        <f>Assessments!$F$4*'IA Marks'!D15</f>
        <v>0.66</v>
      </c>
      <c r="P15" s="20">
        <f>Assessments!$C$5*'IA Marks'!E15</f>
        <v>1.1500000000000001</v>
      </c>
      <c r="Q15" s="20">
        <f>Assessments!$D$5*'IA Marks'!E15</f>
        <v>5.75</v>
      </c>
      <c r="R15" s="20">
        <f>Assessments!$E$5*'IA Marks'!E15</f>
        <v>2.3000000000000003</v>
      </c>
      <c r="S15" s="20">
        <f>Assessments!$F$5*'IA Marks'!E15</f>
        <v>2.3000000000000003</v>
      </c>
      <c r="T15" s="20">
        <f>Assessments!$C$6*'IA Marks'!F15</f>
        <v>4.375</v>
      </c>
      <c r="U15" s="20">
        <f>Assessments!$D$6*'IA Marks'!F15</f>
        <v>4.375</v>
      </c>
      <c r="V15" s="20">
        <f>Assessments!$E$6*'IA Marks'!F15</f>
        <v>1.875</v>
      </c>
      <c r="W15" s="20">
        <f>Assessments!$F$6*'IA Marks'!F15</f>
        <v>1.875</v>
      </c>
      <c r="X15" s="9"/>
      <c r="Y15" s="9"/>
      <c r="Z15" s="9"/>
      <c r="AA15" s="9"/>
      <c r="AB15" s="21"/>
    </row>
    <row r="16" spans="1:28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9"/>
      <c r="Y16" s="9"/>
      <c r="Z16" s="9"/>
      <c r="AA16" s="9"/>
      <c r="AB16" s="21"/>
    </row>
    <row r="17" spans="1:28" x14ac:dyDescent="0.25">
      <c r="A17" s="19"/>
      <c r="B17" s="19"/>
      <c r="C17" s="19"/>
      <c r="D17" s="22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9"/>
      <c r="Y17" s="9"/>
      <c r="Z17" s="9"/>
      <c r="AA17" s="9"/>
      <c r="AB17" s="21"/>
    </row>
    <row r="18" spans="1:28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9"/>
      <c r="Y18" s="9"/>
      <c r="Z18" s="9"/>
      <c r="AA18" s="9"/>
      <c r="AB18" s="21"/>
    </row>
    <row r="19" spans="1:28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9"/>
      <c r="Y19" s="9"/>
      <c r="Z19" s="9"/>
      <c r="AA19" s="9"/>
      <c r="AB19" s="21"/>
    </row>
    <row r="20" spans="1:28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9"/>
      <c r="Y20" s="9"/>
      <c r="Z20" s="9"/>
      <c r="AA20" s="9"/>
      <c r="AB20" s="21"/>
    </row>
    <row r="21" spans="1:28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9"/>
      <c r="Y21" s="9"/>
      <c r="Z21" s="9"/>
      <c r="AA21" s="9"/>
      <c r="AB21" s="21"/>
    </row>
    <row r="22" spans="1:28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9"/>
      <c r="Y22" s="9"/>
      <c r="Z22" s="9"/>
      <c r="AA22" s="9"/>
      <c r="AB22" s="21"/>
    </row>
    <row r="23" spans="1:28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9"/>
      <c r="Y23" s="9"/>
      <c r="Z23" s="9"/>
      <c r="AA23" s="9"/>
      <c r="AB23" s="21"/>
    </row>
    <row r="24" spans="1:28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9"/>
      <c r="Y24" s="9"/>
      <c r="Z24" s="9"/>
      <c r="AA24" s="9"/>
      <c r="AB24" s="21"/>
    </row>
    <row r="25" spans="1:28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9"/>
      <c r="Y25" s="9"/>
      <c r="Z25" s="9"/>
      <c r="AA25" s="9"/>
      <c r="AB25" s="21"/>
    </row>
    <row r="26" spans="1:28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9"/>
      <c r="Y26" s="9"/>
      <c r="Z26" s="9"/>
      <c r="AA26" s="9"/>
      <c r="AB26" s="21"/>
    </row>
    <row r="27" spans="1:28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9"/>
      <c r="Y27" s="9"/>
      <c r="Z27" s="9"/>
      <c r="AA27" s="9"/>
      <c r="AB27" s="21"/>
    </row>
    <row r="28" spans="1:28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9"/>
      <c r="Y28" s="9"/>
      <c r="Z28" s="9"/>
      <c r="AA28" s="9"/>
      <c r="AB28" s="21"/>
    </row>
    <row r="29" spans="1:28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9"/>
      <c r="Y29" s="9"/>
      <c r="Z29" s="9"/>
      <c r="AA29" s="9"/>
      <c r="AB29" s="21"/>
    </row>
    <row r="30" spans="1:28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9"/>
      <c r="Y30" s="9"/>
      <c r="Z30" s="9"/>
      <c r="AA30" s="9"/>
      <c r="AB30" s="21"/>
    </row>
    <row r="31" spans="1:28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9"/>
      <c r="Y31" s="9"/>
      <c r="Z31" s="9"/>
      <c r="AA31" s="9"/>
      <c r="AB31" s="21"/>
    </row>
    <row r="32" spans="1:28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9"/>
      <c r="Y32" s="9"/>
      <c r="Z32" s="9"/>
      <c r="AA32" s="9"/>
      <c r="AB32" s="21"/>
    </row>
    <row r="33" spans="1:28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9"/>
      <c r="Y33" s="9"/>
      <c r="Z33" s="9"/>
      <c r="AA33" s="9"/>
      <c r="AB33" s="21"/>
    </row>
    <row r="34" spans="1:28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9"/>
      <c r="Y34" s="9"/>
      <c r="Z34" s="9"/>
      <c r="AA34" s="9"/>
      <c r="AB34" s="21"/>
    </row>
    <row r="35" spans="1:28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9"/>
      <c r="Y35" s="9"/>
      <c r="Z35" s="9"/>
      <c r="AA35" s="9"/>
      <c r="AB35" s="21"/>
    </row>
    <row r="36" spans="1:28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9"/>
      <c r="Y36" s="9"/>
      <c r="Z36" s="9"/>
      <c r="AA36" s="9"/>
      <c r="AB36" s="21"/>
    </row>
    <row r="37" spans="1:28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9"/>
      <c r="Y37" s="9"/>
      <c r="Z37" s="9"/>
      <c r="AA37" s="9"/>
      <c r="AB37" s="21"/>
    </row>
    <row r="38" spans="1:28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9"/>
      <c r="Y38" s="9"/>
      <c r="Z38" s="9"/>
      <c r="AA38" s="9"/>
      <c r="AB38" s="21"/>
    </row>
    <row r="39" spans="1:28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9"/>
      <c r="Y39" s="9"/>
      <c r="Z39" s="9"/>
      <c r="AA39" s="9"/>
      <c r="AB39" s="21"/>
    </row>
    <row r="40" spans="1:28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9"/>
      <c r="Y40" s="9"/>
      <c r="Z40" s="9"/>
      <c r="AA40" s="9"/>
      <c r="AB40" s="21"/>
    </row>
    <row r="41" spans="1:28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9"/>
      <c r="Y41" s="9"/>
      <c r="Z41" s="9"/>
      <c r="AA41" s="9"/>
      <c r="AB41" s="21"/>
    </row>
    <row r="42" spans="1:28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9"/>
      <c r="Y42" s="9"/>
      <c r="Z42" s="9"/>
      <c r="AA42" s="9"/>
      <c r="AB42" s="21"/>
    </row>
    <row r="43" spans="1:28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9"/>
      <c r="Y43" s="9"/>
      <c r="Z43" s="9"/>
      <c r="AA43" s="9"/>
      <c r="AB43" s="21"/>
    </row>
    <row r="44" spans="1:28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9"/>
      <c r="Y44" s="9"/>
      <c r="Z44" s="9"/>
      <c r="AA44" s="9"/>
      <c r="AB44" s="21"/>
    </row>
    <row r="45" spans="1:28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9"/>
      <c r="Y45" s="9"/>
      <c r="Z45" s="9"/>
      <c r="AA45" s="9"/>
      <c r="AB45" s="21"/>
    </row>
    <row r="46" spans="1:28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9"/>
      <c r="Y46" s="9"/>
      <c r="Z46" s="9"/>
      <c r="AA46" s="9"/>
      <c r="AB46" s="21"/>
    </row>
    <row r="47" spans="1:28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9"/>
      <c r="Y47" s="9"/>
      <c r="Z47" s="9"/>
      <c r="AA47" s="9"/>
      <c r="AB47" s="21"/>
    </row>
    <row r="48" spans="1:28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9"/>
      <c r="Y48" s="9"/>
      <c r="Z48" s="9"/>
      <c r="AA48" s="9"/>
      <c r="AB48" s="21"/>
    </row>
    <row r="49" spans="1:28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9"/>
      <c r="Y49" s="9"/>
      <c r="Z49" s="9"/>
      <c r="AA49" s="9"/>
      <c r="AB49" s="21"/>
    </row>
    <row r="50" spans="1:28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9"/>
      <c r="Y50" s="9"/>
      <c r="Z50" s="9"/>
      <c r="AA50" s="9"/>
      <c r="AB50" s="21"/>
    </row>
    <row r="51" spans="1:28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9"/>
      <c r="Y51" s="9"/>
      <c r="Z51" s="9"/>
      <c r="AA51" s="9"/>
      <c r="AB51" s="21"/>
    </row>
    <row r="52" spans="1:28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9"/>
      <c r="Y52" s="9"/>
      <c r="Z52" s="9"/>
      <c r="AA52" s="9"/>
      <c r="AB52" s="21"/>
    </row>
    <row r="53" spans="1:28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9"/>
      <c r="Y53" s="9"/>
      <c r="Z53" s="9"/>
      <c r="AA53" s="9"/>
      <c r="AB53" s="21"/>
    </row>
    <row r="54" spans="1:28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9"/>
      <c r="Y54" s="9"/>
      <c r="Z54" s="9"/>
      <c r="AA54" s="9"/>
      <c r="AB54" s="21"/>
    </row>
    <row r="55" spans="1:28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9"/>
      <c r="Y55" s="9"/>
      <c r="Z55" s="9"/>
      <c r="AA55" s="9"/>
      <c r="AB55" s="21"/>
    </row>
    <row r="56" spans="1:28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9"/>
      <c r="Y56" s="9"/>
      <c r="Z56" s="9"/>
      <c r="AA56" s="9"/>
      <c r="AB56" s="21"/>
    </row>
    <row r="57" spans="1:28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9"/>
      <c r="Y57" s="9"/>
      <c r="Z57" s="9"/>
      <c r="AA57" s="9"/>
      <c r="AB57" s="21"/>
    </row>
    <row r="58" spans="1:28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9"/>
      <c r="Y58" s="9"/>
      <c r="Z58" s="9"/>
      <c r="AA58" s="9"/>
      <c r="AB58" s="21"/>
    </row>
    <row r="59" spans="1:28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9"/>
      <c r="Y59" s="9"/>
      <c r="Z59" s="9"/>
      <c r="AA59" s="9"/>
      <c r="AB59" s="21"/>
    </row>
    <row r="60" spans="1:28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9"/>
      <c r="Y60" s="9"/>
      <c r="Z60" s="9"/>
      <c r="AA60" s="9"/>
      <c r="AB60" s="21"/>
    </row>
    <row r="61" spans="1:28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9"/>
      <c r="Y61" s="9"/>
      <c r="Z61" s="9"/>
      <c r="AA61" s="9"/>
      <c r="AB61" s="21"/>
    </row>
    <row r="62" spans="1:28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9"/>
      <c r="Y62" s="9"/>
      <c r="Z62" s="9"/>
      <c r="AA62" s="9"/>
      <c r="AB62" s="21"/>
    </row>
    <row r="63" spans="1:28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9"/>
      <c r="Y63" s="9"/>
      <c r="Z63" s="9"/>
      <c r="AA63" s="9"/>
      <c r="AB63" s="21"/>
    </row>
    <row r="64" spans="1:28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9"/>
      <c r="Y64" s="9"/>
      <c r="Z64" s="9"/>
      <c r="AA64" s="9"/>
      <c r="AB64" s="21"/>
    </row>
    <row r="65" spans="1:28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9"/>
      <c r="Y65" s="9"/>
      <c r="Z65" s="9"/>
      <c r="AA65" s="9"/>
      <c r="AB65" s="21"/>
    </row>
    <row r="66" spans="1:28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9"/>
      <c r="Y66" s="9"/>
      <c r="Z66" s="9"/>
      <c r="AA66" s="9"/>
      <c r="AB66" s="21"/>
    </row>
    <row r="67" spans="1:28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9"/>
      <c r="Y67" s="9"/>
      <c r="Z67" s="9"/>
      <c r="AA67" s="9"/>
      <c r="AB67" s="21"/>
    </row>
    <row r="68" spans="1:28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9"/>
      <c r="Y68" s="9"/>
      <c r="Z68" s="9"/>
      <c r="AA68" s="9"/>
      <c r="AB68" s="21"/>
    </row>
    <row r="69" spans="1:28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9"/>
      <c r="Y69" s="9"/>
      <c r="Z69" s="9"/>
      <c r="AA69" s="9"/>
      <c r="AB69" s="21"/>
    </row>
    <row r="70" spans="1:28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9"/>
      <c r="Y70" s="9"/>
      <c r="Z70" s="9"/>
      <c r="AA70" s="9"/>
      <c r="AB70" s="21"/>
    </row>
    <row r="71" spans="1:28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9"/>
      <c r="Y71" s="9"/>
      <c r="Z71" s="9"/>
      <c r="AA71" s="9"/>
      <c r="AB71" s="21"/>
    </row>
    <row r="72" spans="1:28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9"/>
      <c r="Y72" s="9"/>
      <c r="Z72" s="9"/>
      <c r="AA72" s="9"/>
      <c r="AB72" s="21"/>
    </row>
    <row r="73" spans="1:28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9"/>
      <c r="Y73" s="9"/>
      <c r="Z73" s="9"/>
      <c r="AA73" s="9"/>
      <c r="AB73" s="21"/>
    </row>
    <row r="74" spans="1:28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9"/>
      <c r="Y74" s="9"/>
      <c r="Z74" s="9"/>
      <c r="AA74" s="9"/>
      <c r="AB74" s="21"/>
    </row>
    <row r="75" spans="1:28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9"/>
      <c r="Y75" s="9"/>
      <c r="Z75" s="9"/>
      <c r="AA75" s="9"/>
      <c r="AB75" s="21"/>
    </row>
    <row r="76" spans="1:28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9"/>
      <c r="Y76" s="9"/>
      <c r="Z76" s="9"/>
      <c r="AA76" s="9"/>
      <c r="AB76" s="21"/>
    </row>
    <row r="77" spans="1:28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9"/>
      <c r="Y77" s="9"/>
      <c r="Z77" s="9"/>
      <c r="AA77" s="9"/>
      <c r="AB77" s="21"/>
    </row>
    <row r="78" spans="1:28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9"/>
      <c r="Y78" s="9"/>
      <c r="Z78" s="9"/>
      <c r="AA78" s="9"/>
      <c r="AB78" s="21"/>
    </row>
    <row r="79" spans="1:28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9"/>
      <c r="Y79" s="9"/>
      <c r="Z79" s="9"/>
      <c r="AA79" s="9"/>
      <c r="AB79" s="21"/>
    </row>
    <row r="80" spans="1:28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9"/>
      <c r="Y80" s="9"/>
      <c r="Z80" s="9"/>
      <c r="AA80" s="9"/>
      <c r="AB80" s="21"/>
    </row>
    <row r="81" spans="1:28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9"/>
      <c r="Y81" s="9"/>
      <c r="Z81" s="9"/>
      <c r="AA81" s="9"/>
      <c r="AB81" s="21"/>
    </row>
    <row r="82" spans="1:28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9"/>
      <c r="Y82" s="9"/>
      <c r="Z82" s="9"/>
      <c r="AA82" s="9"/>
      <c r="AB82" s="21"/>
    </row>
    <row r="83" spans="1:28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9"/>
      <c r="Y83" s="9"/>
      <c r="Z83" s="9"/>
      <c r="AA83" s="9"/>
      <c r="AB83" s="21"/>
    </row>
    <row r="84" spans="1:28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9"/>
      <c r="Y84" s="9"/>
      <c r="Z84" s="9"/>
      <c r="AA84" s="9"/>
      <c r="AB84" s="21"/>
    </row>
    <row r="85" spans="1:28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9"/>
      <c r="Y85" s="9"/>
      <c r="Z85" s="9"/>
      <c r="AA85" s="9"/>
      <c r="AB85" s="21"/>
    </row>
    <row r="86" spans="1:28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9"/>
      <c r="Y86" s="9"/>
      <c r="Z86" s="9"/>
      <c r="AA86" s="9"/>
      <c r="AB86" s="21"/>
    </row>
    <row r="87" spans="1:28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9"/>
      <c r="Y87" s="9"/>
      <c r="Z87" s="9"/>
      <c r="AA87" s="9"/>
      <c r="AB87" s="21"/>
    </row>
    <row r="88" spans="1:28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9"/>
      <c r="Y88" s="9"/>
      <c r="Z88" s="9"/>
      <c r="AA88" s="9"/>
      <c r="AB88" s="21"/>
    </row>
    <row r="89" spans="1:28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9"/>
      <c r="Y89" s="9"/>
      <c r="Z89" s="9"/>
      <c r="AA89" s="9"/>
      <c r="AB89" s="21"/>
    </row>
    <row r="90" spans="1:28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9"/>
      <c r="Y90" s="9"/>
      <c r="Z90" s="9"/>
      <c r="AA90" s="9"/>
      <c r="AB90" s="21"/>
    </row>
    <row r="91" spans="1:28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9"/>
      <c r="Y91" s="9"/>
      <c r="Z91" s="9"/>
      <c r="AA91" s="9"/>
      <c r="AB91" s="21"/>
    </row>
    <row r="92" spans="1:28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9"/>
      <c r="Y92" s="9"/>
      <c r="Z92" s="9"/>
      <c r="AA92" s="9"/>
      <c r="AB92" s="21"/>
    </row>
    <row r="93" spans="1:28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9"/>
      <c r="Y93" s="9"/>
      <c r="Z93" s="9"/>
      <c r="AA93" s="9"/>
      <c r="AB93" s="21"/>
    </row>
    <row r="94" spans="1:28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9"/>
      <c r="Y94" s="9"/>
      <c r="Z94" s="9"/>
      <c r="AA94" s="9"/>
      <c r="AB94" s="21"/>
    </row>
    <row r="95" spans="1:28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9"/>
      <c r="Y95" s="9"/>
      <c r="Z95" s="9"/>
      <c r="AA95" s="9"/>
      <c r="AB95" s="21"/>
    </row>
    <row r="96" spans="1:28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9"/>
      <c r="Y96" s="9"/>
      <c r="Z96" s="9"/>
      <c r="AA96" s="9"/>
      <c r="AB96" s="21"/>
    </row>
    <row r="97" spans="1:28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9"/>
      <c r="Y97" s="9"/>
      <c r="Z97" s="9"/>
      <c r="AA97" s="9"/>
      <c r="AB97" s="21"/>
    </row>
    <row r="98" spans="1:28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9"/>
      <c r="Y98" s="9"/>
      <c r="Z98" s="9"/>
      <c r="AA98" s="9"/>
      <c r="AB98" s="21"/>
    </row>
    <row r="99" spans="1:28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9"/>
      <c r="Y99" s="9"/>
      <c r="Z99" s="9"/>
      <c r="AA99" s="9"/>
      <c r="AB99" s="21"/>
    </row>
    <row r="100" spans="1:28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9"/>
      <c r="Y100" s="9"/>
      <c r="Z100" s="9"/>
      <c r="AA100" s="9"/>
      <c r="AB100" s="21"/>
    </row>
    <row r="101" spans="1:28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9"/>
      <c r="Y101" s="9"/>
      <c r="Z101" s="9"/>
      <c r="AA101" s="9"/>
      <c r="AB101" s="21"/>
    </row>
    <row r="102" spans="1:28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9"/>
      <c r="Y102" s="9"/>
      <c r="Z102" s="9"/>
      <c r="AA102" s="9"/>
      <c r="AB102" s="21"/>
    </row>
    <row r="103" spans="1:28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9"/>
      <c r="Y103" s="9"/>
      <c r="Z103" s="9"/>
      <c r="AA103" s="9"/>
      <c r="AB103" s="21"/>
    </row>
    <row r="104" spans="1:28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9"/>
      <c r="Y104" s="9"/>
      <c r="Z104" s="9"/>
      <c r="AA104" s="9"/>
      <c r="AB104" s="21"/>
    </row>
    <row r="105" spans="1:28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9"/>
      <c r="Y105" s="9"/>
      <c r="Z105" s="9"/>
      <c r="AA105" s="9"/>
      <c r="AB105" s="21"/>
    </row>
    <row r="106" spans="1:28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9"/>
      <c r="Y106" s="9"/>
      <c r="Z106" s="9"/>
      <c r="AA106" s="9"/>
      <c r="AB106" s="21"/>
    </row>
    <row r="107" spans="1:28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9"/>
      <c r="Y107" s="9"/>
      <c r="Z107" s="9"/>
      <c r="AA107" s="9"/>
      <c r="AB107" s="21"/>
    </row>
    <row r="108" spans="1:28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9"/>
      <c r="Y108" s="9"/>
      <c r="Z108" s="9"/>
      <c r="AA108" s="9"/>
      <c r="AB108" s="21"/>
    </row>
    <row r="109" spans="1:28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9"/>
      <c r="Y109" s="9"/>
      <c r="Z109" s="9"/>
      <c r="AA109" s="9"/>
      <c r="AB109" s="21"/>
    </row>
    <row r="110" spans="1:28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9"/>
      <c r="Y110" s="9"/>
      <c r="Z110" s="9"/>
      <c r="AA110" s="9"/>
      <c r="AB110" s="21"/>
    </row>
    <row r="111" spans="1:28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9"/>
      <c r="Y111" s="9"/>
      <c r="Z111" s="9"/>
      <c r="AA111" s="9"/>
      <c r="AB111" s="21"/>
    </row>
    <row r="112" spans="1:28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9"/>
      <c r="Y112" s="9"/>
      <c r="Z112" s="9"/>
      <c r="AA112" s="9"/>
      <c r="AB112" s="21"/>
    </row>
    <row r="113" spans="1:28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9"/>
      <c r="Y113" s="9"/>
      <c r="Z113" s="9"/>
      <c r="AA113" s="9"/>
      <c r="AB113" s="21"/>
    </row>
    <row r="114" spans="1:28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9"/>
      <c r="Y114" s="9"/>
      <c r="Z114" s="9"/>
      <c r="AA114" s="9"/>
      <c r="AB114" s="21"/>
    </row>
    <row r="115" spans="1:28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9"/>
      <c r="Y115" s="9"/>
      <c r="Z115" s="9"/>
      <c r="AA115" s="9"/>
      <c r="AB115" s="21"/>
    </row>
    <row r="116" spans="1:28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9"/>
      <c r="Y116" s="9"/>
      <c r="Z116" s="9"/>
      <c r="AA116" s="9"/>
      <c r="AB116" s="21"/>
    </row>
    <row r="117" spans="1:28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9"/>
      <c r="Y117" s="9"/>
      <c r="Z117" s="9"/>
      <c r="AA117" s="9"/>
      <c r="AB117" s="21"/>
    </row>
    <row r="118" spans="1:28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9"/>
      <c r="Y118" s="9"/>
      <c r="Z118" s="9"/>
      <c r="AA118" s="9"/>
      <c r="AB118" s="21"/>
    </row>
    <row r="119" spans="1:28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9"/>
      <c r="Y119" s="9"/>
      <c r="Z119" s="9"/>
      <c r="AA119" s="9"/>
      <c r="AB119" s="21"/>
    </row>
    <row r="120" spans="1:28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9"/>
      <c r="Y120" s="9"/>
      <c r="Z120" s="9"/>
      <c r="AA120" s="9"/>
      <c r="AB120" s="21"/>
    </row>
    <row r="121" spans="1:28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9"/>
      <c r="Y121" s="9"/>
      <c r="Z121" s="9"/>
      <c r="AA121" s="9"/>
      <c r="AB121" s="21"/>
    </row>
    <row r="122" spans="1:28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9"/>
      <c r="Y122" s="9"/>
      <c r="Z122" s="9"/>
      <c r="AA122" s="9"/>
      <c r="AB122" s="21"/>
    </row>
    <row r="123" spans="1:28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9"/>
      <c r="Y123" s="9"/>
      <c r="Z123" s="9"/>
      <c r="AA123" s="9"/>
      <c r="AB123" s="21"/>
    </row>
    <row r="124" spans="1:28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9"/>
      <c r="Y124" s="9"/>
      <c r="Z124" s="9"/>
      <c r="AA124" s="9"/>
      <c r="AB124" s="21"/>
    </row>
    <row r="125" spans="1:28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9"/>
      <c r="Y125" s="9"/>
      <c r="Z125" s="9"/>
      <c r="AA125" s="9"/>
      <c r="AB125" s="21"/>
    </row>
    <row r="126" spans="1:28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9"/>
      <c r="Y126" s="9"/>
      <c r="Z126" s="9"/>
      <c r="AA126" s="9"/>
      <c r="AB126" s="21"/>
    </row>
    <row r="127" spans="1:28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9"/>
      <c r="Y127" s="9"/>
      <c r="Z127" s="9"/>
      <c r="AA127" s="9"/>
      <c r="AB127" s="21"/>
    </row>
    <row r="128" spans="1:28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9"/>
      <c r="Y128" s="9"/>
      <c r="Z128" s="9"/>
      <c r="AA128" s="9"/>
      <c r="AB128" s="21"/>
    </row>
    <row r="129" spans="1:28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9"/>
      <c r="Y129" s="9"/>
      <c r="Z129" s="9"/>
      <c r="AA129" s="9"/>
      <c r="AB129" s="21"/>
    </row>
    <row r="130" spans="1:28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9"/>
      <c r="Y130" s="9"/>
      <c r="Z130" s="9"/>
      <c r="AA130" s="9"/>
      <c r="AB130" s="21"/>
    </row>
    <row r="131" spans="1:28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9"/>
      <c r="Y131" s="9"/>
      <c r="Z131" s="9"/>
      <c r="AA131" s="9"/>
      <c r="AB131" s="21"/>
    </row>
    <row r="132" spans="1:28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9"/>
      <c r="Y132" s="9"/>
      <c r="Z132" s="9"/>
      <c r="AA132" s="9"/>
      <c r="AB132" s="21"/>
    </row>
    <row r="133" spans="1:28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9"/>
      <c r="Y133" s="9"/>
      <c r="Z133" s="9"/>
      <c r="AA133" s="9"/>
      <c r="AB133" s="21"/>
    </row>
    <row r="134" spans="1:28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9"/>
      <c r="Y134" s="9"/>
      <c r="Z134" s="9"/>
      <c r="AA134" s="9"/>
      <c r="AB134" s="21"/>
    </row>
    <row r="135" spans="1:28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9"/>
      <c r="Y135" s="9"/>
      <c r="Z135" s="9"/>
      <c r="AA135" s="9"/>
      <c r="AB135" s="21"/>
    </row>
    <row r="136" spans="1:28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9"/>
      <c r="Y136" s="9"/>
      <c r="Z136" s="9"/>
      <c r="AA136" s="9"/>
      <c r="AB136" s="21"/>
    </row>
    <row r="137" spans="1:28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9"/>
      <c r="Y137" s="9"/>
      <c r="Z137" s="9"/>
      <c r="AA137" s="9"/>
      <c r="AB137" s="21"/>
    </row>
    <row r="138" spans="1:28" x14ac:dyDescent="0.2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9"/>
      <c r="Y138" s="9"/>
      <c r="Z138" s="9"/>
      <c r="AA138" s="9"/>
      <c r="AB138" s="21"/>
    </row>
    <row r="139" spans="1:28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9"/>
      <c r="Y139" s="9"/>
      <c r="Z139" s="9"/>
      <c r="AA139" s="9"/>
      <c r="AB139" s="21"/>
    </row>
    <row r="140" spans="1:28" x14ac:dyDescent="0.2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9"/>
      <c r="Y140" s="9"/>
      <c r="Z140" s="9"/>
      <c r="AA140" s="9"/>
      <c r="AB140" s="21"/>
    </row>
    <row r="141" spans="1:28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9"/>
      <c r="Y141" s="9"/>
      <c r="Z141" s="9"/>
      <c r="AA141" s="9"/>
      <c r="AB141" s="21"/>
    </row>
    <row r="142" spans="1:28" x14ac:dyDescent="0.2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9"/>
      <c r="Y142" s="9"/>
      <c r="Z142" s="9"/>
      <c r="AA142" s="9"/>
      <c r="AB142" s="21"/>
    </row>
    <row r="143" spans="1:28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9"/>
      <c r="Y143" s="9"/>
      <c r="Z143" s="9"/>
      <c r="AA143" s="9"/>
      <c r="AB143" s="21"/>
    </row>
    <row r="144" spans="1:28" x14ac:dyDescent="0.2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9"/>
      <c r="Y144" s="9"/>
      <c r="Z144" s="9"/>
      <c r="AA144" s="9"/>
      <c r="AB144" s="21"/>
    </row>
    <row r="145" spans="1:28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9"/>
      <c r="Y145" s="9"/>
      <c r="Z145" s="9"/>
      <c r="AA145" s="9"/>
      <c r="AB145" s="21"/>
    </row>
    <row r="146" spans="1:28" x14ac:dyDescent="0.2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9"/>
      <c r="Y146" s="9"/>
      <c r="Z146" s="9"/>
      <c r="AA146" s="9"/>
      <c r="AB146" s="21"/>
    </row>
    <row r="147" spans="1:28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9"/>
      <c r="Y147" s="9"/>
      <c r="Z147" s="9"/>
      <c r="AA147" s="9"/>
      <c r="AB147" s="21"/>
    </row>
    <row r="148" spans="1:28" x14ac:dyDescent="0.2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9"/>
      <c r="Y148" s="9"/>
      <c r="Z148" s="9"/>
      <c r="AA148" s="9"/>
      <c r="AB148" s="21"/>
    </row>
    <row r="149" spans="1:28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9"/>
      <c r="Y149" s="9"/>
      <c r="Z149" s="9"/>
      <c r="AA149" s="9"/>
      <c r="AB149" s="21"/>
    </row>
    <row r="150" spans="1:28" x14ac:dyDescent="0.2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9"/>
      <c r="Y150" s="9"/>
      <c r="Z150" s="9"/>
      <c r="AA150" s="9"/>
      <c r="AB150" s="21"/>
    </row>
    <row r="151" spans="1:28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9"/>
      <c r="Y151" s="9"/>
      <c r="Z151" s="9"/>
      <c r="AA151" s="9"/>
      <c r="AB151" s="21"/>
    </row>
    <row r="152" spans="1:28" x14ac:dyDescent="0.2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9"/>
      <c r="Y152" s="9"/>
      <c r="Z152" s="9"/>
      <c r="AA152" s="9"/>
      <c r="AB152" s="21"/>
    </row>
    <row r="153" spans="1:28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9"/>
      <c r="Y153" s="9"/>
      <c r="Z153" s="9"/>
      <c r="AA153" s="9"/>
      <c r="AB153" s="21"/>
    </row>
    <row r="154" spans="1:28" x14ac:dyDescent="0.2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9"/>
      <c r="Y154" s="9"/>
      <c r="Z154" s="9"/>
      <c r="AA154" s="9"/>
      <c r="AB154" s="21"/>
    </row>
    <row r="155" spans="1:28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9"/>
      <c r="Y155" s="9"/>
      <c r="Z155" s="9"/>
      <c r="AA155" s="9"/>
      <c r="AB155" s="21"/>
    </row>
    <row r="156" spans="1:28" x14ac:dyDescent="0.2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9"/>
      <c r="Y156" s="9"/>
      <c r="Z156" s="9"/>
      <c r="AA156" s="9"/>
      <c r="AB156" s="21"/>
    </row>
    <row r="157" spans="1:28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9"/>
      <c r="Y157" s="9"/>
      <c r="Z157" s="9"/>
      <c r="AA157" s="9"/>
      <c r="AB157" s="21"/>
    </row>
    <row r="158" spans="1:28" x14ac:dyDescent="0.2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9"/>
      <c r="Y158" s="9"/>
      <c r="Z158" s="9"/>
      <c r="AA158" s="9"/>
      <c r="AB158" s="21"/>
    </row>
    <row r="159" spans="1:28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9"/>
      <c r="Y159" s="9"/>
      <c r="Z159" s="9"/>
      <c r="AA159" s="9"/>
      <c r="AB159" s="21"/>
    </row>
    <row r="160" spans="1:28" x14ac:dyDescent="0.2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9"/>
      <c r="Y160" s="9"/>
      <c r="Z160" s="9"/>
      <c r="AA160" s="9"/>
      <c r="AB160" s="21"/>
    </row>
    <row r="161" spans="1:28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9"/>
      <c r="Y161" s="9"/>
      <c r="Z161" s="9"/>
      <c r="AA161" s="9"/>
      <c r="AB161" s="21"/>
    </row>
    <row r="162" spans="1:28" x14ac:dyDescent="0.2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9"/>
      <c r="Y162" s="9"/>
      <c r="Z162" s="9"/>
      <c r="AA162" s="9"/>
      <c r="AB162" s="21"/>
    </row>
    <row r="163" spans="1:28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9"/>
      <c r="Y163" s="9"/>
      <c r="Z163" s="9"/>
      <c r="AA163" s="9"/>
      <c r="AB163" s="21"/>
    </row>
    <row r="164" spans="1:28" x14ac:dyDescent="0.2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9"/>
      <c r="Y164" s="9"/>
      <c r="Z164" s="9"/>
      <c r="AA164" s="9"/>
      <c r="AB164" s="21"/>
    </row>
    <row r="165" spans="1:28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9"/>
      <c r="Y165" s="9"/>
      <c r="Z165" s="9"/>
      <c r="AA165" s="9"/>
      <c r="AB165" s="21"/>
    </row>
    <row r="166" spans="1:28" x14ac:dyDescent="0.2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9"/>
      <c r="Y166" s="9"/>
      <c r="Z166" s="9"/>
      <c r="AA166" s="9"/>
      <c r="AB166" s="21"/>
    </row>
    <row r="167" spans="1:28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9"/>
      <c r="Y167" s="9"/>
      <c r="Z167" s="9"/>
      <c r="AA167" s="9"/>
      <c r="AB167" s="21"/>
    </row>
    <row r="168" spans="1:28" x14ac:dyDescent="0.2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9"/>
      <c r="Y168" s="9"/>
      <c r="Z168" s="9"/>
      <c r="AA168" s="9"/>
      <c r="AB168" s="21"/>
    </row>
    <row r="169" spans="1:28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9"/>
      <c r="Y169" s="9"/>
      <c r="Z169" s="9"/>
      <c r="AA169" s="9"/>
      <c r="AB169" s="21"/>
    </row>
    <row r="170" spans="1:28" x14ac:dyDescent="0.2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9"/>
      <c r="Y170" s="9"/>
      <c r="Z170" s="9"/>
      <c r="AA170" s="9"/>
      <c r="AB170" s="21"/>
    </row>
    <row r="171" spans="1:28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9"/>
      <c r="Y171" s="9"/>
      <c r="Z171" s="9"/>
      <c r="AA171" s="9"/>
      <c r="AB171" s="21"/>
    </row>
    <row r="172" spans="1:28" x14ac:dyDescent="0.2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9"/>
      <c r="Y172" s="9"/>
      <c r="Z172" s="9"/>
      <c r="AA172" s="9"/>
      <c r="AB172" s="21"/>
    </row>
    <row r="173" spans="1:28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9"/>
      <c r="Y173" s="9"/>
      <c r="Z173" s="9"/>
      <c r="AA173" s="9"/>
      <c r="AB173" s="21"/>
    </row>
    <row r="174" spans="1:28" x14ac:dyDescent="0.2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9"/>
      <c r="Y174" s="9"/>
      <c r="Z174" s="9"/>
      <c r="AA174" s="9"/>
      <c r="AB174" s="21"/>
    </row>
    <row r="175" spans="1:28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9"/>
      <c r="Y175" s="9"/>
      <c r="Z175" s="9"/>
      <c r="AA175" s="9"/>
      <c r="AB175" s="21"/>
    </row>
    <row r="176" spans="1:28" x14ac:dyDescent="0.2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9"/>
      <c r="Y176" s="9"/>
      <c r="Z176" s="9"/>
      <c r="AA176" s="9"/>
      <c r="AB176" s="21"/>
    </row>
    <row r="177" spans="1:28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9"/>
      <c r="Y177" s="9"/>
      <c r="Z177" s="9"/>
      <c r="AA177" s="9"/>
      <c r="AB177" s="21"/>
    </row>
    <row r="178" spans="1:28" x14ac:dyDescent="0.2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9"/>
      <c r="Y178" s="9"/>
      <c r="Z178" s="9"/>
      <c r="AA178" s="9"/>
      <c r="AB178" s="21"/>
    </row>
    <row r="179" spans="1:28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9"/>
      <c r="Y179" s="9"/>
      <c r="Z179" s="9"/>
      <c r="AA179" s="9"/>
      <c r="AB179" s="21"/>
    </row>
    <row r="180" spans="1:28" x14ac:dyDescent="0.2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9"/>
      <c r="Y180" s="9"/>
      <c r="Z180" s="9"/>
      <c r="AA180" s="9"/>
      <c r="AB180" s="21"/>
    </row>
    <row r="181" spans="1:28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9"/>
      <c r="Y181" s="9"/>
      <c r="Z181" s="9"/>
      <c r="AA181" s="9"/>
      <c r="AB181" s="21"/>
    </row>
    <row r="182" spans="1:28" x14ac:dyDescent="0.2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9"/>
      <c r="Y182" s="9"/>
      <c r="Z182" s="9"/>
      <c r="AA182" s="9"/>
      <c r="AB182" s="21"/>
    </row>
    <row r="183" spans="1:28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9"/>
      <c r="Y183" s="9"/>
      <c r="Z183" s="9"/>
      <c r="AA183" s="9"/>
      <c r="AB183" s="21"/>
    </row>
    <row r="184" spans="1:28" x14ac:dyDescent="0.2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9"/>
      <c r="Y184" s="9"/>
      <c r="Z184" s="9"/>
      <c r="AA184" s="9"/>
      <c r="AB184" s="21"/>
    </row>
    <row r="185" spans="1:28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9"/>
      <c r="Y185" s="9"/>
      <c r="Z185" s="9"/>
      <c r="AA185" s="9"/>
      <c r="AB185" s="21"/>
    </row>
    <row r="186" spans="1:28" x14ac:dyDescent="0.2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9"/>
      <c r="Y186" s="9"/>
      <c r="Z186" s="9"/>
      <c r="AA186" s="9"/>
      <c r="AB186" s="21"/>
    </row>
    <row r="187" spans="1:28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9"/>
      <c r="Y187" s="9"/>
      <c r="Z187" s="9"/>
      <c r="AA187" s="9"/>
      <c r="AB187" s="21"/>
    </row>
    <row r="188" spans="1:28" x14ac:dyDescent="0.2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9"/>
      <c r="Y188" s="9"/>
      <c r="Z188" s="9"/>
      <c r="AA188" s="9"/>
      <c r="AB188" s="21"/>
    </row>
    <row r="189" spans="1:28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9"/>
      <c r="Y189" s="9"/>
      <c r="Z189" s="9"/>
      <c r="AA189" s="9"/>
      <c r="AB189" s="21"/>
    </row>
    <row r="190" spans="1:28" x14ac:dyDescent="0.2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9"/>
      <c r="Y190" s="9"/>
      <c r="Z190" s="9"/>
      <c r="AA190" s="9"/>
      <c r="AB190" s="21"/>
    </row>
    <row r="191" spans="1:28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9"/>
      <c r="Y191" s="9"/>
      <c r="Z191" s="9"/>
      <c r="AA191" s="9"/>
      <c r="AB191" s="21"/>
    </row>
    <row r="192" spans="1:28" x14ac:dyDescent="0.2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9"/>
      <c r="Y192" s="9"/>
      <c r="Z192" s="9"/>
      <c r="AA192" s="9"/>
      <c r="AB192" s="21"/>
    </row>
    <row r="193" spans="1:28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9"/>
      <c r="Y193" s="9"/>
      <c r="Z193" s="9"/>
      <c r="AA193" s="9"/>
      <c r="AB193" s="21"/>
    </row>
    <row r="194" spans="1:28" x14ac:dyDescent="0.2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9"/>
      <c r="Y194" s="9"/>
      <c r="Z194" s="9"/>
      <c r="AA194" s="9"/>
      <c r="AB194" s="21"/>
    </row>
    <row r="195" spans="1:28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9"/>
      <c r="Y195" s="9"/>
      <c r="Z195" s="9"/>
      <c r="AA195" s="9"/>
      <c r="AB195" s="21"/>
    </row>
    <row r="196" spans="1:28" x14ac:dyDescent="0.2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9"/>
      <c r="Y196" s="9"/>
      <c r="Z196" s="9"/>
      <c r="AA196" s="9"/>
      <c r="AB196" s="21"/>
    </row>
    <row r="197" spans="1:28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9"/>
      <c r="Y197" s="9"/>
      <c r="Z197" s="9"/>
      <c r="AA197" s="9"/>
      <c r="AB197" s="21"/>
    </row>
    <row r="198" spans="1:28" x14ac:dyDescent="0.25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9"/>
      <c r="Y198" s="9"/>
      <c r="Z198" s="9"/>
      <c r="AA198" s="9"/>
      <c r="AB198" s="21"/>
    </row>
    <row r="199" spans="1:28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9"/>
      <c r="Y199" s="9"/>
      <c r="Z199" s="9"/>
      <c r="AA199" s="9"/>
      <c r="AB199" s="21"/>
    </row>
    <row r="200" spans="1:28" x14ac:dyDescent="0.25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9"/>
      <c r="Y200" s="9"/>
      <c r="Z200" s="9"/>
      <c r="AA200" s="9"/>
      <c r="AB200" s="21"/>
    </row>
    <row r="201" spans="1:28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9"/>
      <c r="Y201" s="9"/>
      <c r="Z201" s="9"/>
      <c r="AA201" s="9"/>
      <c r="AB201" s="21"/>
    </row>
    <row r="202" spans="1:28" x14ac:dyDescent="0.25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9"/>
      <c r="Y202" s="9"/>
      <c r="Z202" s="9"/>
      <c r="AA202" s="9"/>
      <c r="AB202" s="21"/>
    </row>
    <row r="203" spans="1:28" x14ac:dyDescent="0.25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9"/>
      <c r="Y203" s="9"/>
      <c r="Z203" s="9"/>
      <c r="AA203" s="9"/>
      <c r="AB203" s="21"/>
    </row>
    <row r="204" spans="1:28" x14ac:dyDescent="0.25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9"/>
      <c r="Y204" s="9"/>
      <c r="Z204" s="9"/>
      <c r="AA204" s="9"/>
      <c r="AB204" s="21"/>
    </row>
    <row r="205" spans="1:28" x14ac:dyDescent="0.2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9"/>
      <c r="Y205" s="9"/>
      <c r="Z205" s="9"/>
      <c r="AA205" s="9"/>
      <c r="AB205" s="21"/>
    </row>
    <row r="206" spans="1:28" x14ac:dyDescent="0.25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9"/>
      <c r="Y206" s="9"/>
      <c r="Z206" s="9"/>
      <c r="AA206" s="9"/>
      <c r="AB206" s="21"/>
    </row>
    <row r="207" spans="1:28" x14ac:dyDescent="0.25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9"/>
      <c r="Y207" s="9"/>
      <c r="Z207" s="9"/>
      <c r="AA207" s="9"/>
      <c r="AB207" s="21"/>
    </row>
    <row r="208" spans="1:28" x14ac:dyDescent="0.25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9"/>
      <c r="Y208" s="9"/>
      <c r="Z208" s="9"/>
      <c r="AA208" s="9"/>
      <c r="AB208" s="21"/>
    </row>
    <row r="209" spans="1:28" x14ac:dyDescent="0.25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9"/>
      <c r="Y209" s="9"/>
      <c r="Z209" s="9"/>
      <c r="AA209" s="9"/>
      <c r="AB209" s="21"/>
    </row>
    <row r="210" spans="1:28" x14ac:dyDescent="0.25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9"/>
      <c r="Y210" s="9"/>
      <c r="Z210" s="9"/>
      <c r="AA210" s="9"/>
      <c r="AB210" s="21"/>
    </row>
    <row r="211" spans="1:28" x14ac:dyDescent="0.25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9"/>
      <c r="Y211" s="9"/>
      <c r="Z211" s="9"/>
      <c r="AA211" s="9"/>
      <c r="AB211" s="21"/>
    </row>
    <row r="212" spans="1:28" x14ac:dyDescent="0.25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9"/>
      <c r="Y212" s="9"/>
      <c r="Z212" s="9"/>
      <c r="AA212" s="9"/>
      <c r="AB212" s="21"/>
    </row>
    <row r="213" spans="1:28" x14ac:dyDescent="0.25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9"/>
      <c r="Y213" s="9"/>
      <c r="Z213" s="9"/>
      <c r="AA213" s="9"/>
      <c r="AB213" s="21"/>
    </row>
    <row r="214" spans="1:28" x14ac:dyDescent="0.25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9"/>
      <c r="Y214" s="9"/>
      <c r="Z214" s="9"/>
      <c r="AA214" s="9"/>
      <c r="AB214" s="21"/>
    </row>
    <row r="215" spans="1:28" x14ac:dyDescent="0.2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9"/>
      <c r="Y215" s="9"/>
      <c r="Z215" s="9"/>
      <c r="AA215" s="9"/>
      <c r="AB215" s="21"/>
    </row>
    <row r="216" spans="1:28" x14ac:dyDescent="0.25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9"/>
      <c r="Y216" s="9"/>
      <c r="Z216" s="9"/>
      <c r="AA216" s="9"/>
      <c r="AB216" s="21"/>
    </row>
    <row r="217" spans="1:28" x14ac:dyDescent="0.25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9"/>
      <c r="Y217" s="9"/>
      <c r="Z217" s="9"/>
      <c r="AA217" s="9"/>
      <c r="AB217" s="21"/>
    </row>
    <row r="218" spans="1:28" x14ac:dyDescent="0.25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9"/>
      <c r="Y218" s="9"/>
      <c r="Z218" s="9"/>
      <c r="AA218" s="9"/>
      <c r="AB218" s="21"/>
    </row>
    <row r="219" spans="1:28" x14ac:dyDescent="0.25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9"/>
      <c r="Y219" s="9"/>
      <c r="Z219" s="9"/>
      <c r="AA219" s="9"/>
      <c r="AB219" s="21"/>
    </row>
    <row r="220" spans="1:28" x14ac:dyDescent="0.25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9"/>
      <c r="Y220" s="9"/>
      <c r="Z220" s="9"/>
      <c r="AA220" s="9"/>
      <c r="AB220" s="21"/>
    </row>
    <row r="221" spans="1:28" x14ac:dyDescent="0.25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9"/>
      <c r="Y221" s="9"/>
      <c r="Z221" s="9"/>
      <c r="AA221" s="9"/>
      <c r="AB221" s="21"/>
    </row>
    <row r="222" spans="1:28" x14ac:dyDescent="0.25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9"/>
      <c r="Y222" s="9"/>
      <c r="Z222" s="9"/>
      <c r="AA222" s="9"/>
      <c r="AB222" s="21"/>
    </row>
    <row r="223" spans="1:28" x14ac:dyDescent="0.25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9"/>
      <c r="Y223" s="9"/>
      <c r="Z223" s="9"/>
      <c r="AA223" s="9"/>
      <c r="AB223" s="21"/>
    </row>
    <row r="224" spans="1:28" x14ac:dyDescent="0.25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9"/>
      <c r="Y224" s="9"/>
      <c r="Z224" s="9"/>
      <c r="AA224" s="9"/>
      <c r="AB224" s="21"/>
    </row>
    <row r="225" spans="1:28" x14ac:dyDescent="0.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9"/>
      <c r="Y225" s="9"/>
      <c r="Z225" s="9"/>
      <c r="AA225" s="9"/>
      <c r="AB225" s="21"/>
    </row>
    <row r="226" spans="1:28" x14ac:dyDescent="0.25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9"/>
      <c r="Y226" s="9"/>
      <c r="Z226" s="9"/>
      <c r="AA226" s="9"/>
      <c r="AB226" s="21"/>
    </row>
    <row r="227" spans="1:28" x14ac:dyDescent="0.25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9"/>
      <c r="Y227" s="9"/>
      <c r="Z227" s="9"/>
      <c r="AA227" s="9"/>
      <c r="AB227" s="21"/>
    </row>
    <row r="228" spans="1:28" x14ac:dyDescent="0.25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9"/>
      <c r="Y228" s="9"/>
      <c r="Z228" s="9"/>
      <c r="AA228" s="9"/>
      <c r="AB228" s="21"/>
    </row>
    <row r="229" spans="1:28" x14ac:dyDescent="0.25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9"/>
      <c r="Y229" s="9"/>
      <c r="Z229" s="9"/>
      <c r="AA229" s="9"/>
      <c r="AB229" s="21"/>
    </row>
    <row r="230" spans="1:28" x14ac:dyDescent="0.25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9"/>
      <c r="Y230" s="9"/>
      <c r="Z230" s="9"/>
      <c r="AA230" s="9"/>
      <c r="AB230" s="21"/>
    </row>
    <row r="231" spans="1:28" x14ac:dyDescent="0.25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9"/>
      <c r="Y231" s="9"/>
      <c r="Z231" s="9"/>
      <c r="AA231" s="9"/>
      <c r="AB231" s="21"/>
    </row>
    <row r="232" spans="1:28" x14ac:dyDescent="0.25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9"/>
      <c r="Y232" s="9"/>
      <c r="Z232" s="9"/>
      <c r="AA232" s="9"/>
      <c r="AB232" s="21"/>
    </row>
    <row r="233" spans="1:28" x14ac:dyDescent="0.25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9"/>
      <c r="Y233" s="9"/>
      <c r="Z233" s="9"/>
      <c r="AA233" s="9"/>
      <c r="AB233" s="21"/>
    </row>
    <row r="234" spans="1:28" x14ac:dyDescent="0.25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9"/>
      <c r="Y234" s="9"/>
      <c r="Z234" s="9"/>
      <c r="AA234" s="9"/>
      <c r="AB234" s="21"/>
    </row>
    <row r="235" spans="1:28" x14ac:dyDescent="0.2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9"/>
      <c r="Y235" s="9"/>
      <c r="Z235" s="9"/>
      <c r="AA235" s="9"/>
      <c r="AB235" s="21"/>
    </row>
    <row r="236" spans="1:28" x14ac:dyDescent="0.25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9"/>
      <c r="Y236" s="9"/>
      <c r="Z236" s="9"/>
      <c r="AA236" s="9"/>
      <c r="AB236" s="21"/>
    </row>
    <row r="237" spans="1:28" x14ac:dyDescent="0.25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9"/>
      <c r="Y237" s="9"/>
      <c r="Z237" s="9"/>
      <c r="AA237" s="9"/>
      <c r="AB237" s="21"/>
    </row>
    <row r="238" spans="1:28" x14ac:dyDescent="0.25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9"/>
      <c r="Y238" s="9"/>
      <c r="Z238" s="9"/>
      <c r="AA238" s="9"/>
      <c r="AB238" s="21"/>
    </row>
    <row r="239" spans="1:28" x14ac:dyDescent="0.25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9"/>
      <c r="Y239" s="9"/>
      <c r="Z239" s="9"/>
      <c r="AA239" s="9"/>
      <c r="AB239" s="21"/>
    </row>
    <row r="240" spans="1:28" x14ac:dyDescent="0.25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9"/>
      <c r="Y240" s="9"/>
      <c r="Z240" s="9"/>
      <c r="AA240" s="9"/>
      <c r="AB240" s="21"/>
    </row>
    <row r="241" spans="1:28" x14ac:dyDescent="0.25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9"/>
      <c r="Y241" s="9"/>
      <c r="Z241" s="9"/>
      <c r="AA241" s="9"/>
      <c r="AB241" s="21"/>
    </row>
    <row r="242" spans="1:28" x14ac:dyDescent="0.25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9"/>
      <c r="Y242" s="9"/>
      <c r="Z242" s="9"/>
      <c r="AA242" s="9"/>
      <c r="AB242" s="21"/>
    </row>
    <row r="243" spans="1:28" x14ac:dyDescent="0.25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9"/>
      <c r="Y243" s="9"/>
      <c r="Z243" s="9"/>
      <c r="AA243" s="9"/>
      <c r="AB243" s="21"/>
    </row>
    <row r="244" spans="1:28" x14ac:dyDescent="0.25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9"/>
      <c r="Y244" s="9"/>
      <c r="Z244" s="9"/>
      <c r="AA244" s="9"/>
      <c r="AB244" s="21"/>
    </row>
    <row r="245" spans="1:28" x14ac:dyDescent="0.2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9"/>
      <c r="Y245" s="9"/>
      <c r="Z245" s="9"/>
      <c r="AA245" s="9"/>
      <c r="AB245" s="21"/>
    </row>
    <row r="246" spans="1:28" x14ac:dyDescent="0.25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9"/>
      <c r="Y246" s="9"/>
      <c r="Z246" s="9"/>
      <c r="AA246" s="9"/>
      <c r="AB246" s="21"/>
    </row>
    <row r="247" spans="1:28" x14ac:dyDescent="0.25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9"/>
      <c r="Y247" s="9"/>
      <c r="Z247" s="9"/>
      <c r="AA247" s="9"/>
      <c r="AB247" s="21"/>
    </row>
    <row r="248" spans="1:28" x14ac:dyDescent="0.25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9"/>
      <c r="Y248" s="9"/>
      <c r="Z248" s="9"/>
      <c r="AA248" s="9"/>
      <c r="AB248" s="21"/>
    </row>
    <row r="249" spans="1:28" x14ac:dyDescent="0.25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9"/>
      <c r="Y249" s="9"/>
      <c r="Z249" s="9"/>
      <c r="AA249" s="9"/>
      <c r="AB249" s="21"/>
    </row>
    <row r="250" spans="1:28" x14ac:dyDescent="0.25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9"/>
      <c r="Y250" s="9"/>
      <c r="Z250" s="9"/>
      <c r="AA250" s="9"/>
      <c r="AB250" s="21"/>
    </row>
    <row r="251" spans="1:28" x14ac:dyDescent="0.25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9"/>
      <c r="Y251" s="9"/>
      <c r="Z251" s="9"/>
      <c r="AA251" s="9"/>
      <c r="AB251" s="21"/>
    </row>
    <row r="252" spans="1:28" x14ac:dyDescent="0.25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9"/>
      <c r="Y252" s="9"/>
      <c r="Z252" s="9"/>
      <c r="AA252" s="9"/>
      <c r="AB252" s="21"/>
    </row>
    <row r="253" spans="1:28" x14ac:dyDescent="0.25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9"/>
      <c r="Y253" s="9"/>
      <c r="Z253" s="9"/>
      <c r="AA253" s="9"/>
      <c r="AB253" s="21"/>
    </row>
    <row r="254" spans="1:28" x14ac:dyDescent="0.25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9"/>
      <c r="Y254" s="9"/>
      <c r="Z254" s="9"/>
      <c r="AA254" s="9"/>
      <c r="AB254" s="21"/>
    </row>
    <row r="255" spans="1:28" x14ac:dyDescent="0.2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9"/>
      <c r="Y255" s="9"/>
      <c r="Z255" s="9"/>
      <c r="AA255" s="9"/>
      <c r="AB255" s="21"/>
    </row>
    <row r="256" spans="1:28" x14ac:dyDescent="0.25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9"/>
      <c r="Y256" s="9"/>
      <c r="Z256" s="9"/>
      <c r="AA256" s="9"/>
      <c r="AB256" s="21"/>
    </row>
    <row r="257" spans="1:28" x14ac:dyDescent="0.25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9"/>
      <c r="Y257" s="9"/>
      <c r="Z257" s="9"/>
      <c r="AA257" s="9"/>
      <c r="AB257" s="21"/>
    </row>
    <row r="258" spans="1:28" x14ac:dyDescent="0.25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9"/>
      <c r="Y258" s="9"/>
      <c r="Z258" s="9"/>
      <c r="AA258" s="9"/>
      <c r="AB258" s="21"/>
    </row>
    <row r="259" spans="1:28" x14ac:dyDescent="0.25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9"/>
      <c r="Y259" s="9"/>
      <c r="Z259" s="9"/>
      <c r="AA259" s="9"/>
      <c r="AB259" s="21"/>
    </row>
    <row r="260" spans="1:28" x14ac:dyDescent="0.25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9"/>
      <c r="Y260" s="9"/>
      <c r="Z260" s="9"/>
      <c r="AA260" s="9"/>
      <c r="AB260" s="21"/>
    </row>
    <row r="261" spans="1:28" x14ac:dyDescent="0.25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9"/>
      <c r="Y261" s="9"/>
      <c r="Z261" s="9"/>
      <c r="AA261" s="9"/>
      <c r="AB261" s="21"/>
    </row>
    <row r="262" spans="1:28" x14ac:dyDescent="0.25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9"/>
      <c r="Y262" s="9"/>
      <c r="Z262" s="9"/>
      <c r="AA262" s="9"/>
      <c r="AB262" s="21"/>
    </row>
    <row r="263" spans="1:28" x14ac:dyDescent="0.25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9"/>
      <c r="Y263" s="9"/>
      <c r="Z263" s="9"/>
      <c r="AA263" s="9"/>
      <c r="AB263" s="21"/>
    </row>
    <row r="264" spans="1:28" x14ac:dyDescent="0.25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9"/>
      <c r="Y264" s="9"/>
      <c r="Z264" s="9"/>
      <c r="AA264" s="9"/>
      <c r="AB264" s="21"/>
    </row>
    <row r="265" spans="1:28" x14ac:dyDescent="0.2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9"/>
      <c r="Y265" s="9"/>
      <c r="Z265" s="9"/>
      <c r="AA265" s="9"/>
      <c r="AB265" s="21"/>
    </row>
    <row r="266" spans="1:28" x14ac:dyDescent="0.25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9"/>
      <c r="Y266" s="9"/>
      <c r="Z266" s="9"/>
      <c r="AA266" s="9"/>
      <c r="AB266" s="21"/>
    </row>
    <row r="267" spans="1:28" x14ac:dyDescent="0.25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9"/>
      <c r="Y267" s="9"/>
      <c r="Z267" s="9"/>
      <c r="AA267" s="9"/>
      <c r="AB267" s="21"/>
    </row>
    <row r="268" spans="1:28" x14ac:dyDescent="0.25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9"/>
      <c r="Y268" s="9"/>
      <c r="Z268" s="9"/>
      <c r="AA268" s="9"/>
      <c r="AB268" s="21"/>
    </row>
    <row r="269" spans="1:28" x14ac:dyDescent="0.25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9"/>
      <c r="Y269" s="9"/>
      <c r="Z269" s="9"/>
      <c r="AA269" s="9"/>
      <c r="AB269" s="21"/>
    </row>
    <row r="270" spans="1:28" x14ac:dyDescent="0.25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9"/>
      <c r="Y270" s="9"/>
      <c r="Z270" s="9"/>
      <c r="AA270" s="9"/>
      <c r="AB270" s="21"/>
    </row>
    <row r="271" spans="1:28" x14ac:dyDescent="0.25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9"/>
      <c r="Y271" s="9"/>
      <c r="Z271" s="9"/>
      <c r="AA271" s="9"/>
      <c r="AB271" s="21"/>
    </row>
    <row r="272" spans="1:28" x14ac:dyDescent="0.25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9"/>
      <c r="Y272" s="9"/>
      <c r="Z272" s="9"/>
      <c r="AA272" s="9"/>
      <c r="AB272" s="21"/>
    </row>
    <row r="273" spans="1:28" x14ac:dyDescent="0.25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9"/>
      <c r="Y273" s="9"/>
      <c r="Z273" s="9"/>
      <c r="AA273" s="9"/>
      <c r="AB273" s="21"/>
    </row>
    <row r="274" spans="1:28" x14ac:dyDescent="0.25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9"/>
      <c r="Y274" s="9"/>
      <c r="Z274" s="9"/>
      <c r="AA274" s="9"/>
      <c r="AB274" s="21"/>
    </row>
    <row r="275" spans="1:28" x14ac:dyDescent="0.2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9"/>
      <c r="Y275" s="9"/>
      <c r="Z275" s="9"/>
      <c r="AA275" s="9"/>
      <c r="AB275" s="21"/>
    </row>
    <row r="276" spans="1:28" x14ac:dyDescent="0.25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9"/>
      <c r="Y276" s="9"/>
      <c r="Z276" s="9"/>
      <c r="AA276" s="9"/>
      <c r="AB276" s="21"/>
    </row>
    <row r="277" spans="1:28" x14ac:dyDescent="0.25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9"/>
      <c r="Y277" s="9"/>
      <c r="Z277" s="9"/>
      <c r="AA277" s="9"/>
      <c r="AB277" s="21"/>
    </row>
    <row r="278" spans="1:28" x14ac:dyDescent="0.25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9"/>
      <c r="Y278" s="9"/>
      <c r="Z278" s="9"/>
      <c r="AA278" s="9"/>
      <c r="AB278" s="21"/>
    </row>
    <row r="279" spans="1:28" x14ac:dyDescent="0.25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9"/>
      <c r="Y279" s="9"/>
      <c r="Z279" s="9"/>
      <c r="AA279" s="9"/>
      <c r="AB279" s="21"/>
    </row>
    <row r="280" spans="1:28" x14ac:dyDescent="0.25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9"/>
      <c r="Y280" s="9"/>
      <c r="Z280" s="9"/>
      <c r="AA280" s="9"/>
      <c r="AB280" s="21"/>
    </row>
    <row r="281" spans="1:28" x14ac:dyDescent="0.25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9"/>
      <c r="Y281" s="9"/>
      <c r="Z281" s="9"/>
      <c r="AA281" s="9"/>
      <c r="AB281" s="21"/>
    </row>
    <row r="282" spans="1:28" x14ac:dyDescent="0.25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9"/>
      <c r="Y282" s="9"/>
      <c r="Z282" s="9"/>
      <c r="AA282" s="9"/>
      <c r="AB282" s="21"/>
    </row>
    <row r="283" spans="1:28" x14ac:dyDescent="0.25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9"/>
      <c r="Y283" s="9"/>
      <c r="Z283" s="9"/>
      <c r="AA283" s="9"/>
      <c r="AB283" s="21"/>
    </row>
    <row r="284" spans="1:28" x14ac:dyDescent="0.25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9"/>
      <c r="Y284" s="9"/>
      <c r="Z284" s="9"/>
      <c r="AA284" s="9"/>
      <c r="AB284" s="21"/>
    </row>
    <row r="285" spans="1:28" x14ac:dyDescent="0.2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9"/>
      <c r="Y285" s="9"/>
      <c r="Z285" s="9"/>
      <c r="AA285" s="9"/>
      <c r="AB285" s="21"/>
    </row>
    <row r="286" spans="1:28" x14ac:dyDescent="0.25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9"/>
      <c r="Y286" s="9"/>
      <c r="Z286" s="9"/>
      <c r="AA286" s="9"/>
      <c r="AB286" s="21"/>
    </row>
    <row r="287" spans="1:28" x14ac:dyDescent="0.25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9"/>
      <c r="Y287" s="9"/>
      <c r="Z287" s="9"/>
      <c r="AA287" s="9"/>
      <c r="AB287" s="21"/>
    </row>
    <row r="288" spans="1:28" x14ac:dyDescent="0.25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9"/>
      <c r="Y288" s="9"/>
      <c r="Z288" s="9"/>
      <c r="AA288" s="9"/>
      <c r="AB288" s="21"/>
    </row>
    <row r="289" spans="1:28" x14ac:dyDescent="0.25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9"/>
      <c r="Y289" s="9"/>
      <c r="Z289" s="9"/>
      <c r="AA289" s="9"/>
      <c r="AB289" s="21"/>
    </row>
    <row r="290" spans="1:28" x14ac:dyDescent="0.25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9"/>
      <c r="Y290" s="9"/>
      <c r="Z290" s="9"/>
      <c r="AA290" s="9"/>
      <c r="AB290" s="21"/>
    </row>
    <row r="291" spans="1:28" x14ac:dyDescent="0.25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9"/>
      <c r="Y291" s="9"/>
      <c r="Z291" s="9"/>
      <c r="AA291" s="9"/>
      <c r="AB291" s="21"/>
    </row>
    <row r="292" spans="1:28" x14ac:dyDescent="0.25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9"/>
      <c r="Y292" s="9"/>
      <c r="Z292" s="9"/>
      <c r="AA292" s="9"/>
      <c r="AB292" s="21"/>
    </row>
    <row r="293" spans="1:28" x14ac:dyDescent="0.25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9"/>
      <c r="Y293" s="9"/>
      <c r="Z293" s="9"/>
      <c r="AA293" s="9"/>
      <c r="AB293" s="21"/>
    </row>
    <row r="294" spans="1:28" x14ac:dyDescent="0.25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9"/>
      <c r="Y294" s="9"/>
      <c r="Z294" s="9"/>
      <c r="AA294" s="9"/>
      <c r="AB294" s="21"/>
    </row>
    <row r="295" spans="1:28" x14ac:dyDescent="0.2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9"/>
      <c r="Y295" s="9"/>
      <c r="Z295" s="9"/>
      <c r="AA295" s="9"/>
      <c r="AB295" s="21"/>
    </row>
    <row r="296" spans="1:28" x14ac:dyDescent="0.25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9"/>
      <c r="Y296" s="9"/>
      <c r="Z296" s="9"/>
      <c r="AA296" s="9"/>
      <c r="AB296" s="21"/>
    </row>
    <row r="297" spans="1:28" x14ac:dyDescent="0.25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9"/>
      <c r="Y297" s="9"/>
      <c r="Z297" s="9"/>
      <c r="AA297" s="9"/>
      <c r="AB297" s="21"/>
    </row>
    <row r="298" spans="1:28" x14ac:dyDescent="0.25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9"/>
      <c r="Y298" s="9"/>
      <c r="Z298" s="9"/>
      <c r="AA298" s="9"/>
      <c r="AB298" s="21"/>
    </row>
    <row r="299" spans="1:28" x14ac:dyDescent="0.25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9"/>
      <c r="Y299" s="9"/>
      <c r="Z299" s="9"/>
      <c r="AA299" s="9"/>
      <c r="AB299" s="21"/>
    </row>
    <row r="300" spans="1:28" x14ac:dyDescent="0.25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9"/>
      <c r="Y300" s="9"/>
      <c r="Z300" s="9"/>
      <c r="AA300" s="9"/>
      <c r="AB300" s="21"/>
    </row>
    <row r="301" spans="1:28" x14ac:dyDescent="0.25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9"/>
      <c r="Y301" s="9"/>
      <c r="Z301" s="9"/>
      <c r="AA301" s="9"/>
      <c r="AB301" s="21"/>
    </row>
    <row r="302" spans="1:28" x14ac:dyDescent="0.25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9"/>
      <c r="Y302" s="9"/>
      <c r="Z302" s="9"/>
      <c r="AA302" s="9"/>
      <c r="AB302" s="21"/>
    </row>
    <row r="303" spans="1:28" x14ac:dyDescent="0.25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9"/>
      <c r="Y303" s="9"/>
      <c r="Z303" s="9"/>
      <c r="AA303" s="9"/>
      <c r="AB303" s="21"/>
    </row>
    <row r="304" spans="1:28" x14ac:dyDescent="0.25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9"/>
      <c r="Y304" s="9"/>
      <c r="Z304" s="9"/>
      <c r="AA304" s="9"/>
      <c r="AB304" s="21"/>
    </row>
    <row r="305" spans="1:28" x14ac:dyDescent="0.2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9"/>
      <c r="Y305" s="9"/>
      <c r="Z305" s="9"/>
      <c r="AA305" s="9"/>
      <c r="AB305" s="21"/>
    </row>
    <row r="306" spans="1:28" x14ac:dyDescent="0.25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9"/>
      <c r="Y306" s="9"/>
      <c r="Z306" s="9"/>
      <c r="AA306" s="9"/>
      <c r="AB306" s="21"/>
    </row>
    <row r="307" spans="1:28" x14ac:dyDescent="0.25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9"/>
      <c r="Y307" s="9"/>
      <c r="Z307" s="9"/>
      <c r="AA307" s="9"/>
      <c r="AB307" s="21"/>
    </row>
    <row r="308" spans="1:28" x14ac:dyDescent="0.25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9"/>
      <c r="Y308" s="9"/>
      <c r="Z308" s="9"/>
      <c r="AA308" s="9"/>
      <c r="AB308" s="21"/>
    </row>
    <row r="309" spans="1:28" x14ac:dyDescent="0.25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9"/>
      <c r="Y309" s="9"/>
      <c r="Z309" s="9"/>
      <c r="AA309" s="9"/>
      <c r="AB309" s="21"/>
    </row>
    <row r="310" spans="1:28" x14ac:dyDescent="0.25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9"/>
      <c r="Y310" s="9"/>
      <c r="Z310" s="9"/>
      <c r="AA310" s="9"/>
      <c r="AB310" s="21"/>
    </row>
    <row r="311" spans="1:28" x14ac:dyDescent="0.25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9"/>
      <c r="Y311" s="9"/>
      <c r="Z311" s="9"/>
      <c r="AA311" s="9"/>
      <c r="AB311" s="21"/>
    </row>
    <row r="312" spans="1:28" x14ac:dyDescent="0.25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9"/>
      <c r="Y312" s="9"/>
      <c r="Z312" s="9"/>
      <c r="AA312" s="9"/>
      <c r="AB312" s="21"/>
    </row>
    <row r="313" spans="1:28" x14ac:dyDescent="0.25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9"/>
      <c r="Y313" s="9"/>
      <c r="Z313" s="9"/>
      <c r="AA313" s="9"/>
      <c r="AB313" s="21"/>
    </row>
    <row r="314" spans="1:28" x14ac:dyDescent="0.25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9"/>
      <c r="Y314" s="9"/>
      <c r="Z314" s="9"/>
      <c r="AA314" s="9"/>
      <c r="AB314" s="21"/>
    </row>
    <row r="315" spans="1:28" x14ac:dyDescent="0.2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9"/>
      <c r="Y315" s="9"/>
      <c r="Z315" s="9"/>
      <c r="AA315" s="9"/>
      <c r="AB315" s="21"/>
    </row>
    <row r="316" spans="1:28" x14ac:dyDescent="0.25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9"/>
      <c r="Y316" s="9"/>
      <c r="Z316" s="9"/>
      <c r="AA316" s="9"/>
      <c r="AB316" s="21"/>
    </row>
    <row r="317" spans="1:28" x14ac:dyDescent="0.25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9"/>
      <c r="Y317" s="9"/>
      <c r="Z317" s="9"/>
      <c r="AA317" s="9"/>
      <c r="AB317" s="21"/>
    </row>
    <row r="318" spans="1:28" x14ac:dyDescent="0.25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9"/>
      <c r="Y318" s="9"/>
      <c r="Z318" s="9"/>
      <c r="AA318" s="9"/>
      <c r="AB318" s="21"/>
    </row>
    <row r="319" spans="1:28" x14ac:dyDescent="0.25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9"/>
      <c r="Y319" s="9"/>
      <c r="Z319" s="9"/>
      <c r="AA319" s="9"/>
      <c r="AB319" s="21"/>
    </row>
    <row r="320" spans="1:28" x14ac:dyDescent="0.25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9"/>
      <c r="Y320" s="9"/>
      <c r="Z320" s="9"/>
      <c r="AA320" s="9"/>
      <c r="AB320" s="21"/>
    </row>
    <row r="321" spans="1:28" x14ac:dyDescent="0.25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9"/>
      <c r="Y321" s="9"/>
      <c r="Z321" s="9"/>
      <c r="AA321" s="9"/>
      <c r="AB321" s="21"/>
    </row>
    <row r="322" spans="1:28" x14ac:dyDescent="0.25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9"/>
      <c r="Y322" s="9"/>
      <c r="Z322" s="9"/>
      <c r="AA322" s="9"/>
      <c r="AB322" s="21"/>
    </row>
    <row r="323" spans="1:28" x14ac:dyDescent="0.25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9"/>
      <c r="Y323" s="9"/>
      <c r="Z323" s="9"/>
      <c r="AA323" s="9"/>
      <c r="AB323" s="21"/>
    </row>
    <row r="324" spans="1:28" x14ac:dyDescent="0.25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9"/>
      <c r="Y324" s="9"/>
      <c r="Z324" s="9"/>
      <c r="AA324" s="9"/>
      <c r="AB324" s="21"/>
    </row>
    <row r="325" spans="1:28" x14ac:dyDescent="0.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9"/>
      <c r="Y325" s="9"/>
      <c r="Z325" s="9"/>
      <c r="AA325" s="9"/>
      <c r="AB325" s="21"/>
    </row>
    <row r="326" spans="1:28" x14ac:dyDescent="0.25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9"/>
      <c r="Y326" s="9"/>
      <c r="Z326" s="9"/>
      <c r="AA326" s="9"/>
      <c r="AB326" s="21"/>
    </row>
    <row r="327" spans="1:28" x14ac:dyDescent="0.25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9"/>
      <c r="Y327" s="9"/>
      <c r="Z327" s="9"/>
      <c r="AA327" s="9"/>
      <c r="AB327" s="21"/>
    </row>
    <row r="328" spans="1:28" x14ac:dyDescent="0.25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9"/>
      <c r="Y328" s="9"/>
      <c r="Z328" s="9"/>
      <c r="AA328" s="9"/>
      <c r="AB328" s="21"/>
    </row>
    <row r="329" spans="1:28" x14ac:dyDescent="0.25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9"/>
      <c r="Y329" s="9"/>
      <c r="Z329" s="9"/>
      <c r="AA329" s="9"/>
      <c r="AB329" s="21"/>
    </row>
    <row r="330" spans="1:28" x14ac:dyDescent="0.25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9"/>
      <c r="Y330" s="9"/>
      <c r="Z330" s="9"/>
      <c r="AA330" s="9"/>
      <c r="AB330" s="21"/>
    </row>
    <row r="331" spans="1:28" x14ac:dyDescent="0.25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9"/>
      <c r="Y331" s="9"/>
      <c r="Z331" s="9"/>
      <c r="AA331" s="9"/>
      <c r="AB331" s="21"/>
    </row>
    <row r="332" spans="1:28" x14ac:dyDescent="0.25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9"/>
      <c r="Y332" s="9"/>
      <c r="Z332" s="9"/>
      <c r="AA332" s="9"/>
      <c r="AB332" s="21"/>
    </row>
    <row r="333" spans="1:28" x14ac:dyDescent="0.25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9"/>
      <c r="Y333" s="9"/>
      <c r="Z333" s="9"/>
      <c r="AA333" s="9"/>
      <c r="AB333" s="21"/>
    </row>
    <row r="334" spans="1:28" x14ac:dyDescent="0.25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9"/>
      <c r="Y334" s="9"/>
      <c r="Z334" s="9"/>
      <c r="AA334" s="9"/>
      <c r="AB334" s="21"/>
    </row>
    <row r="335" spans="1:28" x14ac:dyDescent="0.2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9"/>
      <c r="Y335" s="9"/>
      <c r="Z335" s="9"/>
      <c r="AA335" s="9"/>
      <c r="AB335" s="21"/>
    </row>
    <row r="336" spans="1:28" x14ac:dyDescent="0.25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9"/>
      <c r="Y336" s="9"/>
      <c r="Z336" s="9"/>
      <c r="AA336" s="9"/>
      <c r="AB336" s="21"/>
    </row>
    <row r="337" spans="1:28" x14ac:dyDescent="0.25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9"/>
      <c r="Y337" s="9"/>
      <c r="Z337" s="9"/>
      <c r="AA337" s="9"/>
      <c r="AB337" s="21"/>
    </row>
    <row r="338" spans="1:28" x14ac:dyDescent="0.25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9"/>
      <c r="Y338" s="9"/>
      <c r="Z338" s="9"/>
      <c r="AA338" s="9"/>
      <c r="AB338" s="21"/>
    </row>
    <row r="339" spans="1:28" x14ac:dyDescent="0.25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9"/>
      <c r="Y339" s="9"/>
      <c r="Z339" s="9"/>
      <c r="AA339" s="9"/>
      <c r="AB339" s="21"/>
    </row>
    <row r="340" spans="1:28" x14ac:dyDescent="0.25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9"/>
      <c r="Y340" s="9"/>
      <c r="Z340" s="9"/>
      <c r="AA340" s="9"/>
      <c r="AB340" s="21"/>
    </row>
    <row r="341" spans="1:28" x14ac:dyDescent="0.25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9"/>
      <c r="Y341" s="9"/>
      <c r="Z341" s="9"/>
      <c r="AA341" s="9"/>
      <c r="AB341" s="21"/>
    </row>
    <row r="342" spans="1:28" x14ac:dyDescent="0.25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9"/>
      <c r="Y342" s="9"/>
      <c r="Z342" s="9"/>
      <c r="AA342" s="9"/>
      <c r="AB342" s="21"/>
    </row>
    <row r="343" spans="1:28" x14ac:dyDescent="0.25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9"/>
      <c r="Y343" s="9"/>
      <c r="Z343" s="9"/>
      <c r="AA343" s="9"/>
      <c r="AB343" s="21"/>
    </row>
    <row r="344" spans="1:28" x14ac:dyDescent="0.25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9"/>
      <c r="Y344" s="9"/>
      <c r="Z344" s="9"/>
      <c r="AA344" s="9"/>
      <c r="AB344" s="21"/>
    </row>
    <row r="345" spans="1:28" x14ac:dyDescent="0.2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9"/>
      <c r="Y345" s="9"/>
      <c r="Z345" s="9"/>
      <c r="AA345" s="9"/>
      <c r="AB345" s="21"/>
    </row>
    <row r="346" spans="1:28" x14ac:dyDescent="0.25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9"/>
      <c r="Y346" s="9"/>
      <c r="Z346" s="9"/>
      <c r="AA346" s="9"/>
      <c r="AB346" s="21"/>
    </row>
    <row r="347" spans="1:28" x14ac:dyDescent="0.25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9"/>
      <c r="Y347" s="9"/>
      <c r="Z347" s="9"/>
      <c r="AA347" s="9"/>
      <c r="AB347" s="21"/>
    </row>
    <row r="348" spans="1:28" x14ac:dyDescent="0.25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9"/>
      <c r="Y348" s="9"/>
      <c r="Z348" s="9"/>
      <c r="AA348" s="9"/>
      <c r="AB348" s="21"/>
    </row>
    <row r="349" spans="1:28" x14ac:dyDescent="0.25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9"/>
      <c r="Y349" s="9"/>
      <c r="Z349" s="9"/>
      <c r="AA349" s="9"/>
      <c r="AB349" s="21"/>
    </row>
    <row r="350" spans="1:28" x14ac:dyDescent="0.25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9"/>
      <c r="Y350" s="9"/>
      <c r="Z350" s="9"/>
      <c r="AA350" s="9"/>
      <c r="AB350" s="21"/>
    </row>
    <row r="351" spans="1:28" x14ac:dyDescent="0.25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9"/>
      <c r="Y351" s="9"/>
      <c r="Z351" s="9"/>
      <c r="AA351" s="9"/>
      <c r="AB351" s="21"/>
    </row>
    <row r="352" spans="1:28" x14ac:dyDescent="0.25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9"/>
      <c r="Y352" s="9"/>
      <c r="Z352" s="9"/>
      <c r="AA352" s="9"/>
      <c r="AB352" s="21"/>
    </row>
    <row r="353" spans="1:28" x14ac:dyDescent="0.25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9"/>
      <c r="Y353" s="9"/>
      <c r="Z353" s="9"/>
      <c r="AA353" s="9"/>
      <c r="AB353" s="21"/>
    </row>
    <row r="354" spans="1:28" x14ac:dyDescent="0.25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9"/>
      <c r="Y354" s="9"/>
      <c r="Z354" s="9"/>
      <c r="AA354" s="9"/>
      <c r="AB354" s="21"/>
    </row>
    <row r="355" spans="1:28" x14ac:dyDescent="0.2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9"/>
      <c r="Y355" s="9"/>
      <c r="Z355" s="9"/>
      <c r="AA355" s="9"/>
      <c r="AB355" s="21"/>
    </row>
    <row r="356" spans="1:28" x14ac:dyDescent="0.25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9"/>
      <c r="Y356" s="9"/>
      <c r="Z356" s="9"/>
      <c r="AA356" s="9"/>
      <c r="AB356" s="21"/>
    </row>
    <row r="357" spans="1:28" x14ac:dyDescent="0.25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9"/>
      <c r="Y357" s="9"/>
      <c r="Z357" s="9"/>
      <c r="AA357" s="9"/>
      <c r="AB357" s="21"/>
    </row>
    <row r="358" spans="1:28" x14ac:dyDescent="0.25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9"/>
      <c r="Y358" s="9"/>
      <c r="Z358" s="9"/>
      <c r="AA358" s="9"/>
      <c r="AB358" s="21"/>
    </row>
    <row r="359" spans="1:28" x14ac:dyDescent="0.25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9"/>
      <c r="Y359" s="9"/>
      <c r="Z359" s="9"/>
      <c r="AA359" s="9"/>
      <c r="AB359" s="21"/>
    </row>
    <row r="360" spans="1:28" x14ac:dyDescent="0.25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9"/>
      <c r="Y360" s="9"/>
      <c r="Z360" s="9"/>
      <c r="AA360" s="9"/>
      <c r="AB360" s="21"/>
    </row>
    <row r="361" spans="1:28" x14ac:dyDescent="0.25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9"/>
      <c r="Y361" s="9"/>
      <c r="Z361" s="9"/>
      <c r="AA361" s="9"/>
      <c r="AB361" s="21"/>
    </row>
    <row r="362" spans="1:28" x14ac:dyDescent="0.25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9"/>
      <c r="Y362" s="9"/>
      <c r="Z362" s="9"/>
      <c r="AA362" s="9"/>
      <c r="AB362" s="21"/>
    </row>
    <row r="363" spans="1:28" x14ac:dyDescent="0.25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9"/>
      <c r="Y363" s="9"/>
      <c r="Z363" s="9"/>
      <c r="AA363" s="9"/>
      <c r="AB363" s="21"/>
    </row>
    <row r="364" spans="1:28" x14ac:dyDescent="0.25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9"/>
      <c r="Y364" s="9"/>
      <c r="Z364" s="9"/>
      <c r="AA364" s="9"/>
      <c r="AB364" s="21"/>
    </row>
    <row r="365" spans="1:28" x14ac:dyDescent="0.2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9"/>
      <c r="Y365" s="9"/>
      <c r="Z365" s="9"/>
      <c r="AA365" s="9"/>
      <c r="AB365" s="21"/>
    </row>
    <row r="366" spans="1:28" x14ac:dyDescent="0.25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9"/>
      <c r="Y366" s="9"/>
      <c r="Z366" s="9"/>
      <c r="AA366" s="9"/>
      <c r="AB366" s="21"/>
    </row>
    <row r="367" spans="1:28" x14ac:dyDescent="0.25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9"/>
      <c r="Y367" s="9"/>
      <c r="Z367" s="9"/>
      <c r="AA367" s="9"/>
      <c r="AB367" s="21"/>
    </row>
    <row r="368" spans="1:28" x14ac:dyDescent="0.25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9"/>
      <c r="Y368" s="9"/>
      <c r="Z368" s="9"/>
      <c r="AA368" s="9"/>
      <c r="AB368" s="21"/>
    </row>
    <row r="369" spans="1:28" x14ac:dyDescent="0.25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9"/>
      <c r="Y369" s="9"/>
      <c r="Z369" s="9"/>
      <c r="AA369" s="9"/>
      <c r="AB369" s="21"/>
    </row>
    <row r="370" spans="1:28" x14ac:dyDescent="0.25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9"/>
      <c r="Y370" s="9"/>
      <c r="Z370" s="9"/>
      <c r="AA370" s="9"/>
      <c r="AB370" s="21"/>
    </row>
    <row r="371" spans="1:28" x14ac:dyDescent="0.25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9"/>
      <c r="Y371" s="9"/>
      <c r="Z371" s="9"/>
      <c r="AA371" s="9"/>
      <c r="AB371" s="21"/>
    </row>
    <row r="372" spans="1:28" x14ac:dyDescent="0.25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9"/>
      <c r="Y372" s="9"/>
      <c r="Z372" s="9"/>
      <c r="AA372" s="9"/>
      <c r="AB372" s="21"/>
    </row>
    <row r="373" spans="1:28" x14ac:dyDescent="0.25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9"/>
      <c r="Y373" s="9"/>
      <c r="Z373" s="9"/>
      <c r="AA373" s="9"/>
      <c r="AB373" s="21"/>
    </row>
    <row r="374" spans="1:28" x14ac:dyDescent="0.25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9"/>
      <c r="Y374" s="9"/>
      <c r="Z374" s="9"/>
      <c r="AA374" s="9"/>
      <c r="AB374" s="21"/>
    </row>
    <row r="375" spans="1:28" x14ac:dyDescent="0.2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9"/>
      <c r="Y375" s="9"/>
      <c r="Z375" s="9"/>
      <c r="AA375" s="9"/>
      <c r="AB375" s="21"/>
    </row>
    <row r="376" spans="1:28" x14ac:dyDescent="0.25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9"/>
      <c r="Y376" s="9"/>
      <c r="Z376" s="9"/>
      <c r="AA376" s="9"/>
      <c r="AB376" s="21"/>
    </row>
    <row r="377" spans="1:28" x14ac:dyDescent="0.25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9"/>
      <c r="Y377" s="9"/>
      <c r="Z377" s="9"/>
      <c r="AA377" s="9"/>
      <c r="AB377" s="21"/>
    </row>
    <row r="378" spans="1:28" x14ac:dyDescent="0.25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9"/>
      <c r="Y378" s="9"/>
      <c r="Z378" s="9"/>
      <c r="AA378" s="9"/>
      <c r="AB378" s="21"/>
    </row>
    <row r="379" spans="1:28" x14ac:dyDescent="0.25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9"/>
      <c r="Y379" s="9"/>
      <c r="Z379" s="9"/>
      <c r="AA379" s="9"/>
      <c r="AB379" s="21"/>
    </row>
    <row r="380" spans="1:28" x14ac:dyDescent="0.25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9"/>
      <c r="Y380" s="9"/>
      <c r="Z380" s="9"/>
      <c r="AA380" s="9"/>
      <c r="AB380" s="21"/>
    </row>
    <row r="381" spans="1:28" x14ac:dyDescent="0.25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9"/>
      <c r="Y381" s="9"/>
      <c r="Z381" s="9"/>
      <c r="AA381" s="9"/>
      <c r="AB381" s="21"/>
    </row>
    <row r="382" spans="1:28" x14ac:dyDescent="0.25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9"/>
      <c r="Y382" s="9"/>
      <c r="Z382" s="9"/>
      <c r="AA382" s="9"/>
      <c r="AB382" s="21"/>
    </row>
    <row r="383" spans="1:28" x14ac:dyDescent="0.25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9"/>
      <c r="Y383" s="9"/>
      <c r="Z383" s="9"/>
      <c r="AA383" s="9"/>
      <c r="AB383" s="21"/>
    </row>
    <row r="384" spans="1:28" x14ac:dyDescent="0.25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9"/>
      <c r="Y384" s="9"/>
      <c r="Z384" s="9"/>
      <c r="AA384" s="9"/>
      <c r="AB384" s="21"/>
    </row>
    <row r="385" spans="1:28" x14ac:dyDescent="0.2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9"/>
      <c r="Y385" s="9"/>
      <c r="Z385" s="9"/>
      <c r="AA385" s="9"/>
      <c r="AB385" s="21"/>
    </row>
    <row r="386" spans="1:28" x14ac:dyDescent="0.25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9"/>
      <c r="Y386" s="9"/>
      <c r="Z386" s="9"/>
      <c r="AA386" s="9"/>
      <c r="AB386" s="21"/>
    </row>
    <row r="387" spans="1:28" x14ac:dyDescent="0.25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9"/>
      <c r="Y387" s="9"/>
      <c r="Z387" s="9"/>
      <c r="AA387" s="9"/>
      <c r="AB387" s="21"/>
    </row>
    <row r="388" spans="1:28" x14ac:dyDescent="0.25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9"/>
      <c r="Y388" s="9"/>
      <c r="Z388" s="9"/>
      <c r="AA388" s="9"/>
      <c r="AB388" s="21"/>
    </row>
    <row r="389" spans="1:28" x14ac:dyDescent="0.25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9"/>
      <c r="Y389" s="9"/>
      <c r="Z389" s="9"/>
      <c r="AA389" s="9"/>
      <c r="AB389" s="21"/>
    </row>
    <row r="390" spans="1:28" x14ac:dyDescent="0.25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9"/>
      <c r="Y390" s="9"/>
      <c r="Z390" s="9"/>
      <c r="AA390" s="9"/>
      <c r="AB390" s="21"/>
    </row>
    <row r="391" spans="1:28" x14ac:dyDescent="0.25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9"/>
      <c r="Y391" s="9"/>
      <c r="Z391" s="9"/>
      <c r="AA391" s="9"/>
      <c r="AB391" s="21"/>
    </row>
    <row r="392" spans="1:28" x14ac:dyDescent="0.25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9"/>
      <c r="Y392" s="9"/>
      <c r="Z392" s="9"/>
      <c r="AA392" s="9"/>
      <c r="AB392" s="21"/>
    </row>
    <row r="393" spans="1:28" x14ac:dyDescent="0.25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9"/>
      <c r="Y393" s="9"/>
      <c r="Z393" s="9"/>
      <c r="AA393" s="9"/>
      <c r="AB393" s="21"/>
    </row>
    <row r="394" spans="1:28" x14ac:dyDescent="0.25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9"/>
      <c r="Y394" s="9"/>
      <c r="Z394" s="9"/>
      <c r="AA394" s="9"/>
      <c r="AB394" s="21"/>
    </row>
    <row r="395" spans="1:28" x14ac:dyDescent="0.2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9"/>
      <c r="Y395" s="9"/>
      <c r="Z395" s="9"/>
      <c r="AA395" s="9"/>
      <c r="AB395" s="21"/>
    </row>
    <row r="396" spans="1:28" x14ac:dyDescent="0.25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9"/>
      <c r="Y396" s="9"/>
      <c r="Z396" s="9"/>
      <c r="AA396" s="9"/>
      <c r="AB396" s="21"/>
    </row>
    <row r="397" spans="1:28" x14ac:dyDescent="0.25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9"/>
      <c r="Y397" s="9"/>
      <c r="Z397" s="9"/>
      <c r="AA397" s="9"/>
      <c r="AB397" s="21"/>
    </row>
    <row r="398" spans="1:28" x14ac:dyDescent="0.25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9"/>
      <c r="Y398" s="9"/>
      <c r="Z398" s="9"/>
      <c r="AA398" s="9"/>
      <c r="AB398" s="21"/>
    </row>
    <row r="399" spans="1:28" x14ac:dyDescent="0.25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9"/>
      <c r="Y399" s="9"/>
      <c r="Z399" s="9"/>
      <c r="AA399" s="9"/>
      <c r="AB399" s="21"/>
    </row>
    <row r="400" spans="1:28" x14ac:dyDescent="0.25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9"/>
      <c r="Y400" s="9"/>
      <c r="Z400" s="9"/>
      <c r="AA400" s="9"/>
      <c r="AB400" s="21"/>
    </row>
    <row r="401" spans="1:28" x14ac:dyDescent="0.25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9"/>
      <c r="Y401" s="9"/>
      <c r="Z401" s="9"/>
      <c r="AA401" s="9"/>
      <c r="AB401" s="21"/>
    </row>
    <row r="402" spans="1:28" x14ac:dyDescent="0.25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9"/>
      <c r="Y402" s="9"/>
      <c r="Z402" s="9"/>
      <c r="AA402" s="9"/>
      <c r="AB402" s="21"/>
    </row>
    <row r="403" spans="1:28" x14ac:dyDescent="0.25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9"/>
      <c r="Y403" s="9"/>
      <c r="Z403" s="9"/>
      <c r="AA403" s="9"/>
      <c r="AB403" s="21"/>
    </row>
    <row r="404" spans="1:28" x14ac:dyDescent="0.25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9"/>
      <c r="Y404" s="9"/>
      <c r="Z404" s="9"/>
      <c r="AA404" s="9"/>
      <c r="AB404" s="21"/>
    </row>
    <row r="405" spans="1:28" x14ac:dyDescent="0.2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9"/>
      <c r="Y405" s="9"/>
      <c r="Z405" s="9"/>
      <c r="AA405" s="9"/>
      <c r="AB405" s="21"/>
    </row>
    <row r="406" spans="1:28" x14ac:dyDescent="0.25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9"/>
      <c r="Y406" s="9"/>
      <c r="Z406" s="9"/>
      <c r="AA406" s="9"/>
      <c r="AB406" s="21"/>
    </row>
    <row r="407" spans="1:28" x14ac:dyDescent="0.25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9"/>
      <c r="Y407" s="9"/>
      <c r="Z407" s="9"/>
      <c r="AA407" s="9"/>
      <c r="AB407" s="21"/>
    </row>
    <row r="408" spans="1:28" x14ac:dyDescent="0.25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9"/>
      <c r="Y408" s="9"/>
      <c r="Z408" s="9"/>
      <c r="AA408" s="9"/>
      <c r="AB408" s="21"/>
    </row>
    <row r="409" spans="1:28" x14ac:dyDescent="0.25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9"/>
      <c r="Y409" s="9"/>
      <c r="Z409" s="9"/>
      <c r="AA409" s="9"/>
      <c r="AB409" s="21"/>
    </row>
    <row r="410" spans="1:28" x14ac:dyDescent="0.25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9"/>
      <c r="Y410" s="9"/>
      <c r="Z410" s="9"/>
      <c r="AA410" s="9"/>
      <c r="AB410" s="21"/>
    </row>
    <row r="411" spans="1:28" x14ac:dyDescent="0.25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9"/>
      <c r="Y411" s="9"/>
      <c r="Z411" s="9"/>
      <c r="AA411" s="9"/>
      <c r="AB411" s="21"/>
    </row>
    <row r="412" spans="1:28" x14ac:dyDescent="0.25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9"/>
      <c r="Y412" s="9"/>
      <c r="Z412" s="9"/>
      <c r="AA412" s="9"/>
      <c r="AB412" s="21"/>
    </row>
    <row r="413" spans="1:28" x14ac:dyDescent="0.25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9"/>
      <c r="Y413" s="9"/>
      <c r="Z413" s="9"/>
      <c r="AA413" s="9"/>
      <c r="AB413" s="21"/>
    </row>
    <row r="414" spans="1:28" x14ac:dyDescent="0.25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9"/>
      <c r="Y414" s="9"/>
      <c r="Z414" s="9"/>
      <c r="AA414" s="9"/>
      <c r="AB414" s="21"/>
    </row>
    <row r="415" spans="1:28" x14ac:dyDescent="0.2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9"/>
      <c r="Y415" s="9"/>
      <c r="Z415" s="9"/>
      <c r="AA415" s="9"/>
      <c r="AB415" s="21"/>
    </row>
    <row r="416" spans="1:28" x14ac:dyDescent="0.25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9"/>
      <c r="Y416" s="9"/>
      <c r="Z416" s="9"/>
      <c r="AA416" s="9"/>
      <c r="AB416" s="21"/>
    </row>
    <row r="417" spans="1:28" x14ac:dyDescent="0.25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9"/>
      <c r="Y417" s="9"/>
      <c r="Z417" s="9"/>
      <c r="AA417" s="9"/>
      <c r="AB417" s="21"/>
    </row>
    <row r="418" spans="1:28" x14ac:dyDescent="0.25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9"/>
      <c r="Y418" s="9"/>
      <c r="Z418" s="9"/>
      <c r="AA418" s="9"/>
      <c r="AB418" s="21"/>
    </row>
    <row r="419" spans="1:28" x14ac:dyDescent="0.25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9"/>
      <c r="Y419" s="9"/>
      <c r="Z419" s="9"/>
      <c r="AA419" s="9"/>
      <c r="AB419" s="21"/>
    </row>
    <row r="420" spans="1:28" x14ac:dyDescent="0.25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9"/>
      <c r="Y420" s="9"/>
      <c r="Z420" s="9"/>
      <c r="AA420" s="9"/>
      <c r="AB420" s="21"/>
    </row>
    <row r="421" spans="1:28" x14ac:dyDescent="0.25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9"/>
      <c r="Y421" s="9"/>
      <c r="Z421" s="9"/>
      <c r="AA421" s="9"/>
      <c r="AB421" s="21"/>
    </row>
    <row r="422" spans="1:28" x14ac:dyDescent="0.25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9"/>
      <c r="Y422" s="9"/>
      <c r="Z422" s="9"/>
      <c r="AA422" s="9"/>
      <c r="AB422" s="21"/>
    </row>
    <row r="423" spans="1:28" x14ac:dyDescent="0.25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9"/>
      <c r="Y423" s="9"/>
      <c r="Z423" s="9"/>
      <c r="AA423" s="9"/>
      <c r="AB423" s="21"/>
    </row>
    <row r="424" spans="1:28" x14ac:dyDescent="0.25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9"/>
      <c r="Y424" s="9"/>
      <c r="Z424" s="9"/>
      <c r="AA424" s="9"/>
      <c r="AB424" s="21"/>
    </row>
    <row r="425" spans="1:28" x14ac:dyDescent="0.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9"/>
      <c r="Y425" s="9"/>
      <c r="Z425" s="9"/>
      <c r="AA425" s="9"/>
      <c r="AB425" s="21"/>
    </row>
    <row r="426" spans="1:28" x14ac:dyDescent="0.25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9"/>
      <c r="Y426" s="9"/>
      <c r="Z426" s="9"/>
      <c r="AA426" s="9"/>
      <c r="AB426" s="21"/>
    </row>
    <row r="427" spans="1:28" x14ac:dyDescent="0.25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9"/>
      <c r="Y427" s="9"/>
      <c r="Z427" s="9"/>
      <c r="AA427" s="9"/>
      <c r="AB427" s="21"/>
    </row>
    <row r="428" spans="1:28" x14ac:dyDescent="0.25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9"/>
      <c r="Y428" s="9"/>
      <c r="Z428" s="9"/>
      <c r="AA428" s="9"/>
      <c r="AB428" s="21"/>
    </row>
    <row r="429" spans="1:28" x14ac:dyDescent="0.25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9"/>
      <c r="Y429" s="9"/>
      <c r="Z429" s="9"/>
      <c r="AA429" s="9"/>
      <c r="AB429" s="21"/>
    </row>
    <row r="430" spans="1:28" x14ac:dyDescent="0.25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9"/>
      <c r="Y430" s="9"/>
      <c r="Z430" s="9"/>
      <c r="AA430" s="9"/>
      <c r="AB430" s="21"/>
    </row>
    <row r="431" spans="1:28" x14ac:dyDescent="0.25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9"/>
      <c r="Y431" s="9"/>
      <c r="Z431" s="9"/>
      <c r="AA431" s="9"/>
      <c r="AB431" s="21"/>
    </row>
    <row r="432" spans="1:28" x14ac:dyDescent="0.25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9"/>
      <c r="Y432" s="9"/>
      <c r="Z432" s="9"/>
      <c r="AA432" s="9"/>
      <c r="AB432" s="21"/>
    </row>
    <row r="433" spans="1:28" x14ac:dyDescent="0.25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9"/>
      <c r="Y433" s="9"/>
      <c r="Z433" s="9"/>
      <c r="AA433" s="9"/>
      <c r="AB433" s="21"/>
    </row>
    <row r="434" spans="1:28" x14ac:dyDescent="0.25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9"/>
      <c r="Y434" s="9"/>
      <c r="Z434" s="9"/>
      <c r="AA434" s="9"/>
      <c r="AB434" s="21"/>
    </row>
    <row r="435" spans="1:28" x14ac:dyDescent="0.2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9"/>
      <c r="Y435" s="9"/>
      <c r="Z435" s="9"/>
      <c r="AA435" s="9"/>
      <c r="AB435" s="21"/>
    </row>
    <row r="436" spans="1:28" x14ac:dyDescent="0.25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9"/>
      <c r="Y436" s="9"/>
      <c r="Z436" s="9"/>
      <c r="AA436" s="9"/>
      <c r="AB436" s="21"/>
    </row>
    <row r="437" spans="1:28" x14ac:dyDescent="0.25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9"/>
      <c r="Y437" s="9"/>
      <c r="Z437" s="9"/>
      <c r="AA437" s="9"/>
      <c r="AB437" s="21"/>
    </row>
    <row r="438" spans="1:28" x14ac:dyDescent="0.25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9"/>
      <c r="Y438" s="9"/>
      <c r="Z438" s="9"/>
      <c r="AA438" s="9"/>
      <c r="AB438" s="21"/>
    </row>
    <row r="439" spans="1:28" x14ac:dyDescent="0.25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9"/>
      <c r="Y439" s="9"/>
      <c r="Z439" s="9"/>
      <c r="AA439" s="9"/>
      <c r="AB439" s="21"/>
    </row>
    <row r="440" spans="1:28" x14ac:dyDescent="0.25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9"/>
      <c r="Y440" s="9"/>
      <c r="Z440" s="9"/>
      <c r="AA440" s="9"/>
      <c r="AB440" s="21"/>
    </row>
    <row r="441" spans="1:28" x14ac:dyDescent="0.25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9"/>
      <c r="Y441" s="9"/>
      <c r="Z441" s="9"/>
      <c r="AA441" s="9"/>
      <c r="AB441" s="21"/>
    </row>
    <row r="442" spans="1:28" x14ac:dyDescent="0.25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9"/>
      <c r="Y442" s="9"/>
      <c r="Z442" s="9"/>
      <c r="AA442" s="9"/>
      <c r="AB442" s="21"/>
    </row>
    <row r="443" spans="1:28" x14ac:dyDescent="0.25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9"/>
      <c r="Y443" s="9"/>
      <c r="Z443" s="9"/>
      <c r="AA443" s="9"/>
      <c r="AB443" s="21"/>
    </row>
    <row r="444" spans="1:28" x14ac:dyDescent="0.25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9"/>
      <c r="Y444" s="9"/>
      <c r="Z444" s="9"/>
      <c r="AA444" s="9"/>
      <c r="AB444" s="21"/>
    </row>
    <row r="445" spans="1:28" x14ac:dyDescent="0.2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9"/>
      <c r="Y445" s="9"/>
      <c r="Z445" s="9"/>
      <c r="AA445" s="9"/>
      <c r="AB445" s="21"/>
    </row>
    <row r="446" spans="1:28" x14ac:dyDescent="0.25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9"/>
      <c r="Y446" s="9"/>
      <c r="Z446" s="9"/>
      <c r="AA446" s="9"/>
      <c r="AB446" s="21"/>
    </row>
    <row r="447" spans="1:28" x14ac:dyDescent="0.25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9"/>
      <c r="Y447" s="9"/>
      <c r="Z447" s="9"/>
      <c r="AA447" s="9"/>
      <c r="AB447" s="21"/>
    </row>
    <row r="448" spans="1:28" x14ac:dyDescent="0.25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9"/>
      <c r="Y448" s="9"/>
      <c r="Z448" s="9"/>
      <c r="AA448" s="9"/>
      <c r="AB448" s="21"/>
    </row>
    <row r="449" spans="1:28" x14ac:dyDescent="0.25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9"/>
      <c r="Y449" s="9"/>
      <c r="Z449" s="9"/>
      <c r="AA449" s="9"/>
      <c r="AB449" s="21"/>
    </row>
    <row r="450" spans="1:28" x14ac:dyDescent="0.25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9"/>
      <c r="Y450" s="9"/>
      <c r="Z450" s="9"/>
      <c r="AA450" s="9"/>
      <c r="AB450" s="21"/>
    </row>
    <row r="451" spans="1:28" x14ac:dyDescent="0.25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9"/>
      <c r="Y451" s="9"/>
      <c r="Z451" s="9"/>
      <c r="AA451" s="9"/>
      <c r="AB451" s="21"/>
    </row>
    <row r="452" spans="1:28" x14ac:dyDescent="0.25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9"/>
      <c r="Y452" s="9"/>
      <c r="Z452" s="9"/>
      <c r="AA452" s="9"/>
      <c r="AB452" s="21"/>
    </row>
    <row r="453" spans="1:28" x14ac:dyDescent="0.25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9"/>
      <c r="Y453" s="9"/>
      <c r="Z453" s="9"/>
      <c r="AA453" s="9"/>
      <c r="AB453" s="21"/>
    </row>
    <row r="454" spans="1:28" x14ac:dyDescent="0.25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9"/>
      <c r="Y454" s="9"/>
      <c r="Z454" s="9"/>
      <c r="AA454" s="9"/>
      <c r="AB454" s="21"/>
    </row>
    <row r="455" spans="1:28" x14ac:dyDescent="0.2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9"/>
      <c r="Y455" s="9"/>
      <c r="Z455" s="9"/>
      <c r="AA455" s="9"/>
      <c r="AB455" s="21"/>
    </row>
    <row r="456" spans="1:28" x14ac:dyDescent="0.25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9"/>
      <c r="Y456" s="9"/>
      <c r="Z456" s="9"/>
      <c r="AA456" s="9"/>
      <c r="AB456" s="21"/>
    </row>
    <row r="457" spans="1:28" x14ac:dyDescent="0.25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9"/>
      <c r="Y457" s="9"/>
      <c r="Z457" s="9"/>
      <c r="AA457" s="9"/>
      <c r="AB457" s="21"/>
    </row>
    <row r="458" spans="1:28" x14ac:dyDescent="0.25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9"/>
      <c r="Y458" s="9"/>
      <c r="Z458" s="9"/>
      <c r="AA458" s="9"/>
      <c r="AB458" s="21"/>
    </row>
    <row r="459" spans="1:28" x14ac:dyDescent="0.25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9"/>
      <c r="Y459" s="9"/>
      <c r="Z459" s="9"/>
      <c r="AA459" s="9"/>
      <c r="AB459" s="21"/>
    </row>
    <row r="460" spans="1:28" x14ac:dyDescent="0.25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9"/>
      <c r="Y460" s="9"/>
      <c r="Z460" s="9"/>
      <c r="AA460" s="9"/>
      <c r="AB460" s="21"/>
    </row>
    <row r="461" spans="1:28" x14ac:dyDescent="0.25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9"/>
      <c r="Y461" s="9"/>
      <c r="Z461" s="9"/>
      <c r="AA461" s="9"/>
      <c r="AB461" s="21"/>
    </row>
    <row r="462" spans="1:28" x14ac:dyDescent="0.25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9"/>
      <c r="Y462" s="9"/>
      <c r="Z462" s="9"/>
      <c r="AA462" s="9"/>
      <c r="AB462" s="21"/>
    </row>
    <row r="463" spans="1:28" x14ac:dyDescent="0.25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9"/>
      <c r="Y463" s="9"/>
      <c r="Z463" s="9"/>
      <c r="AA463" s="9"/>
      <c r="AB463" s="21"/>
    </row>
    <row r="464" spans="1:28" x14ac:dyDescent="0.25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9"/>
      <c r="Y464" s="9"/>
      <c r="Z464" s="9"/>
      <c r="AA464" s="9"/>
      <c r="AB464" s="21"/>
    </row>
    <row r="465" spans="1:28" x14ac:dyDescent="0.2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9"/>
      <c r="Y465" s="9"/>
      <c r="Z465" s="9"/>
      <c r="AA465" s="9"/>
      <c r="AB465" s="21"/>
    </row>
    <row r="466" spans="1:28" x14ac:dyDescent="0.25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9"/>
      <c r="Y466" s="9"/>
      <c r="Z466" s="9"/>
      <c r="AA466" s="9"/>
      <c r="AB466" s="21"/>
    </row>
    <row r="467" spans="1:28" x14ac:dyDescent="0.25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9"/>
      <c r="Y467" s="9"/>
      <c r="Z467" s="9"/>
      <c r="AA467" s="9"/>
      <c r="AB467" s="21"/>
    </row>
    <row r="468" spans="1:28" x14ac:dyDescent="0.25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9"/>
      <c r="Y468" s="9"/>
      <c r="Z468" s="9"/>
      <c r="AA468" s="9"/>
      <c r="AB468" s="21"/>
    </row>
    <row r="469" spans="1:28" x14ac:dyDescent="0.25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9"/>
      <c r="Y469" s="9"/>
      <c r="Z469" s="9"/>
      <c r="AA469" s="9"/>
      <c r="AB469" s="21"/>
    </row>
    <row r="470" spans="1:28" x14ac:dyDescent="0.25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9"/>
      <c r="Y470" s="9"/>
      <c r="Z470" s="9"/>
      <c r="AA470" s="9"/>
      <c r="AB470" s="21"/>
    </row>
    <row r="471" spans="1:28" x14ac:dyDescent="0.25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9"/>
      <c r="Y471" s="9"/>
      <c r="Z471" s="9"/>
      <c r="AA471" s="9"/>
      <c r="AB471" s="21"/>
    </row>
    <row r="472" spans="1:28" x14ac:dyDescent="0.25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9"/>
      <c r="Y472" s="9"/>
      <c r="Z472" s="9"/>
      <c r="AA472" s="9"/>
      <c r="AB472" s="21"/>
    </row>
    <row r="473" spans="1:28" x14ac:dyDescent="0.25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9"/>
      <c r="Y473" s="9"/>
      <c r="Z473" s="9"/>
      <c r="AA473" s="9"/>
      <c r="AB473" s="21"/>
    </row>
    <row r="474" spans="1:28" x14ac:dyDescent="0.25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9"/>
      <c r="Y474" s="9"/>
      <c r="Z474" s="9"/>
      <c r="AA474" s="9"/>
      <c r="AB474" s="21"/>
    </row>
    <row r="475" spans="1:28" x14ac:dyDescent="0.2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9"/>
      <c r="Y475" s="9"/>
      <c r="Z475" s="9"/>
      <c r="AA475" s="9"/>
      <c r="AB475" s="21"/>
    </row>
    <row r="476" spans="1:28" x14ac:dyDescent="0.25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9"/>
      <c r="Y476" s="9"/>
      <c r="Z476" s="9"/>
      <c r="AA476" s="9"/>
      <c r="AB476" s="21"/>
    </row>
    <row r="477" spans="1:28" x14ac:dyDescent="0.25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9"/>
      <c r="Y477" s="9"/>
      <c r="Z477" s="9"/>
      <c r="AA477" s="9"/>
      <c r="AB477" s="21"/>
    </row>
    <row r="478" spans="1:28" x14ac:dyDescent="0.25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9"/>
      <c r="Y478" s="9"/>
      <c r="Z478" s="9"/>
      <c r="AA478" s="9"/>
      <c r="AB478" s="21"/>
    </row>
    <row r="479" spans="1:28" x14ac:dyDescent="0.25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9"/>
      <c r="Y479" s="9"/>
      <c r="Z479" s="9"/>
      <c r="AA479" s="9"/>
      <c r="AB479" s="21"/>
    </row>
    <row r="480" spans="1:28" x14ac:dyDescent="0.25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9"/>
      <c r="Y480" s="9"/>
      <c r="Z480" s="9"/>
      <c r="AA480" s="9"/>
      <c r="AB480" s="21"/>
    </row>
    <row r="481" spans="1:28" x14ac:dyDescent="0.25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9"/>
      <c r="Y481" s="9"/>
      <c r="Z481" s="9"/>
      <c r="AA481" s="9"/>
      <c r="AB481" s="21"/>
    </row>
    <row r="482" spans="1:28" x14ac:dyDescent="0.25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9"/>
      <c r="Y482" s="9"/>
      <c r="Z482" s="9"/>
      <c r="AA482" s="9"/>
      <c r="AB482" s="21"/>
    </row>
    <row r="483" spans="1:28" x14ac:dyDescent="0.25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9"/>
      <c r="Y483" s="9"/>
      <c r="Z483" s="9"/>
      <c r="AA483" s="9"/>
      <c r="AB483" s="21"/>
    </row>
    <row r="484" spans="1:28" x14ac:dyDescent="0.25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9"/>
      <c r="Y484" s="9"/>
      <c r="Z484" s="9"/>
      <c r="AA484" s="9"/>
      <c r="AB484" s="21"/>
    </row>
    <row r="485" spans="1:28" x14ac:dyDescent="0.2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9"/>
      <c r="Y485" s="9"/>
      <c r="Z485" s="9"/>
      <c r="AA485" s="9"/>
      <c r="AB485" s="21"/>
    </row>
    <row r="486" spans="1:28" x14ac:dyDescent="0.25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9"/>
      <c r="Y486" s="9"/>
      <c r="Z486" s="9"/>
      <c r="AA486" s="9"/>
      <c r="AB486" s="21"/>
    </row>
    <row r="487" spans="1:28" x14ac:dyDescent="0.25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9"/>
      <c r="Y487" s="9"/>
      <c r="Z487" s="9"/>
      <c r="AA487" s="9"/>
      <c r="AB487" s="21"/>
    </row>
    <row r="488" spans="1:28" x14ac:dyDescent="0.25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9"/>
      <c r="Y488" s="9"/>
      <c r="Z488" s="9"/>
      <c r="AA488" s="9"/>
      <c r="AB488" s="21"/>
    </row>
    <row r="489" spans="1:28" x14ac:dyDescent="0.25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9"/>
      <c r="Y489" s="9"/>
      <c r="Z489" s="9"/>
      <c r="AA489" s="9"/>
      <c r="AB489" s="21"/>
    </row>
    <row r="490" spans="1:28" x14ac:dyDescent="0.25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9"/>
      <c r="Y490" s="9"/>
      <c r="Z490" s="9"/>
      <c r="AA490" s="9"/>
      <c r="AB490" s="21"/>
    </row>
    <row r="491" spans="1:28" x14ac:dyDescent="0.25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9"/>
      <c r="Y491" s="9"/>
      <c r="Z491" s="9"/>
      <c r="AA491" s="9"/>
      <c r="AB491" s="21"/>
    </row>
    <row r="492" spans="1:28" x14ac:dyDescent="0.25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9"/>
      <c r="Y492" s="9"/>
      <c r="Z492" s="9"/>
      <c r="AA492" s="9"/>
      <c r="AB492" s="21"/>
    </row>
    <row r="493" spans="1:28" x14ac:dyDescent="0.25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9"/>
      <c r="Y493" s="9"/>
      <c r="Z493" s="9"/>
      <c r="AA493" s="9"/>
      <c r="AB493" s="21"/>
    </row>
    <row r="494" spans="1:28" x14ac:dyDescent="0.25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9"/>
      <c r="Y494" s="9"/>
      <c r="Z494" s="9"/>
      <c r="AA494" s="9"/>
      <c r="AB494" s="21"/>
    </row>
    <row r="495" spans="1:28" x14ac:dyDescent="0.2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9"/>
      <c r="Y495" s="9"/>
      <c r="Z495" s="9"/>
      <c r="AA495" s="9"/>
      <c r="AB495" s="21"/>
    </row>
    <row r="496" spans="1:28" x14ac:dyDescent="0.25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9"/>
      <c r="Y496" s="9"/>
      <c r="Z496" s="9"/>
      <c r="AA496" s="9"/>
      <c r="AB496" s="21"/>
    </row>
    <row r="497" spans="1:28" x14ac:dyDescent="0.25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9"/>
      <c r="Y497" s="9"/>
      <c r="Z497" s="9"/>
      <c r="AA497" s="9"/>
      <c r="AB497" s="21"/>
    </row>
    <row r="498" spans="1:28" x14ac:dyDescent="0.25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9"/>
      <c r="Y498" s="9"/>
      <c r="Z498" s="9"/>
      <c r="AA498" s="9"/>
      <c r="AB498" s="21"/>
    </row>
    <row r="499" spans="1:28" x14ac:dyDescent="0.25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9"/>
      <c r="Y499" s="9"/>
      <c r="Z499" s="9"/>
      <c r="AA499" s="9"/>
      <c r="AB499" s="21"/>
    </row>
    <row r="500" spans="1:28" x14ac:dyDescent="0.25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9"/>
      <c r="Y500" s="9"/>
      <c r="Z500" s="9"/>
      <c r="AA500" s="9"/>
      <c r="AB500" s="21"/>
    </row>
    <row r="501" spans="1:28" x14ac:dyDescent="0.25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9"/>
      <c r="Y501" s="9"/>
      <c r="Z501" s="9"/>
      <c r="AA501" s="9"/>
      <c r="AB501" s="21"/>
    </row>
    <row r="502" spans="1:28" x14ac:dyDescent="0.25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9"/>
      <c r="Y502" s="9"/>
      <c r="Z502" s="9"/>
      <c r="AA502" s="9"/>
      <c r="AB502" s="21"/>
    </row>
    <row r="503" spans="1:28" x14ac:dyDescent="0.25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9"/>
      <c r="Y503" s="9"/>
      <c r="Z503" s="9"/>
      <c r="AA503" s="9"/>
      <c r="AB503" s="21"/>
    </row>
    <row r="504" spans="1:28" x14ac:dyDescent="0.25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9"/>
      <c r="Y504" s="9"/>
      <c r="Z504" s="9"/>
      <c r="AA504" s="9"/>
      <c r="AB504" s="21"/>
    </row>
    <row r="505" spans="1:28" x14ac:dyDescent="0.2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9"/>
      <c r="Y505" s="9"/>
      <c r="Z505" s="9"/>
      <c r="AA505" s="9"/>
      <c r="AB505" s="21"/>
    </row>
    <row r="506" spans="1:28" x14ac:dyDescent="0.25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9"/>
      <c r="Y506" s="9"/>
      <c r="Z506" s="9"/>
      <c r="AA506" s="9"/>
      <c r="AB506" s="21"/>
    </row>
    <row r="507" spans="1:28" x14ac:dyDescent="0.25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9"/>
      <c r="Y507" s="9"/>
      <c r="Z507" s="9"/>
      <c r="AA507" s="9"/>
      <c r="AB507" s="21"/>
    </row>
    <row r="508" spans="1:28" x14ac:dyDescent="0.25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9"/>
      <c r="Y508" s="9"/>
      <c r="Z508" s="9"/>
      <c r="AA508" s="9"/>
      <c r="AB508" s="21"/>
    </row>
    <row r="509" spans="1:28" x14ac:dyDescent="0.25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9"/>
      <c r="Y509" s="9"/>
      <c r="Z509" s="9"/>
      <c r="AA509" s="9"/>
      <c r="AB509" s="21"/>
    </row>
    <row r="510" spans="1:28" x14ac:dyDescent="0.25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9"/>
      <c r="Y510" s="9"/>
      <c r="Z510" s="9"/>
      <c r="AA510" s="9"/>
      <c r="AB510" s="21"/>
    </row>
    <row r="511" spans="1:28" x14ac:dyDescent="0.25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9"/>
      <c r="Y511" s="9"/>
      <c r="Z511" s="9"/>
      <c r="AA511" s="9"/>
      <c r="AB511" s="21"/>
    </row>
    <row r="512" spans="1:28" x14ac:dyDescent="0.25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9"/>
      <c r="Y512" s="9"/>
      <c r="Z512" s="9"/>
      <c r="AA512" s="9"/>
      <c r="AB512" s="21"/>
    </row>
    <row r="513" spans="1:28" x14ac:dyDescent="0.25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9"/>
      <c r="Y513" s="9"/>
      <c r="Z513" s="9"/>
      <c r="AA513" s="9"/>
      <c r="AB513" s="21"/>
    </row>
    <row r="514" spans="1:28" x14ac:dyDescent="0.25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9"/>
      <c r="Y514" s="9"/>
      <c r="Z514" s="9"/>
      <c r="AA514" s="9"/>
      <c r="AB514" s="21"/>
    </row>
    <row r="515" spans="1:28" x14ac:dyDescent="0.2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9"/>
      <c r="Y515" s="9"/>
      <c r="Z515" s="9"/>
      <c r="AA515" s="9"/>
      <c r="AB515" s="21"/>
    </row>
    <row r="516" spans="1:28" x14ac:dyDescent="0.25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9"/>
      <c r="Y516" s="9"/>
      <c r="Z516" s="9"/>
      <c r="AA516" s="9"/>
      <c r="AB516" s="21"/>
    </row>
    <row r="517" spans="1:28" x14ac:dyDescent="0.25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9"/>
      <c r="Y517" s="9"/>
      <c r="Z517" s="9"/>
      <c r="AA517" s="9"/>
      <c r="AB517" s="21"/>
    </row>
    <row r="518" spans="1:28" x14ac:dyDescent="0.25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9"/>
      <c r="Y518" s="9"/>
      <c r="Z518" s="9"/>
      <c r="AA518" s="9"/>
      <c r="AB518" s="21"/>
    </row>
    <row r="519" spans="1:28" x14ac:dyDescent="0.25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9"/>
      <c r="Y519" s="9"/>
      <c r="Z519" s="9"/>
      <c r="AA519" s="9"/>
      <c r="AB519" s="21"/>
    </row>
    <row r="520" spans="1:28" x14ac:dyDescent="0.25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9"/>
      <c r="Y520" s="9"/>
      <c r="Z520" s="9"/>
      <c r="AA520" s="9"/>
      <c r="AB520" s="21"/>
    </row>
    <row r="521" spans="1:28" x14ac:dyDescent="0.25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9"/>
      <c r="Y521" s="9"/>
      <c r="Z521" s="9"/>
      <c r="AA521" s="9"/>
      <c r="AB521" s="21"/>
    </row>
    <row r="522" spans="1:28" x14ac:dyDescent="0.25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9"/>
      <c r="Y522" s="9"/>
      <c r="Z522" s="9"/>
      <c r="AA522" s="9"/>
      <c r="AB522" s="21"/>
    </row>
    <row r="523" spans="1:28" x14ac:dyDescent="0.25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9"/>
      <c r="Y523" s="9"/>
      <c r="Z523" s="9"/>
      <c r="AA523" s="9"/>
      <c r="AB523" s="21"/>
    </row>
    <row r="524" spans="1:28" x14ac:dyDescent="0.25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9"/>
      <c r="Y524" s="9"/>
      <c r="Z524" s="9"/>
      <c r="AA524" s="9"/>
      <c r="AB524" s="21"/>
    </row>
    <row r="525" spans="1:28" x14ac:dyDescent="0.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9"/>
      <c r="Y525" s="9"/>
      <c r="Z525" s="9"/>
      <c r="AA525" s="9"/>
      <c r="AB525" s="21"/>
    </row>
    <row r="526" spans="1:28" x14ac:dyDescent="0.25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9"/>
      <c r="Y526" s="9"/>
      <c r="Z526" s="9"/>
      <c r="AA526" s="9"/>
      <c r="AB526" s="21"/>
    </row>
    <row r="527" spans="1:28" x14ac:dyDescent="0.25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9"/>
      <c r="Y527" s="9"/>
      <c r="Z527" s="9"/>
      <c r="AA527" s="9"/>
      <c r="AB527" s="21"/>
    </row>
    <row r="528" spans="1:28" x14ac:dyDescent="0.25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9"/>
      <c r="Y528" s="9"/>
      <c r="Z528" s="9"/>
      <c r="AA528" s="9"/>
      <c r="AB528" s="21"/>
    </row>
    <row r="529" spans="1:28" x14ac:dyDescent="0.25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9"/>
      <c r="Y529" s="9"/>
      <c r="Z529" s="9"/>
      <c r="AA529" s="9"/>
      <c r="AB529" s="21"/>
    </row>
    <row r="530" spans="1:28" x14ac:dyDescent="0.25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9"/>
      <c r="Y530" s="9"/>
      <c r="Z530" s="9"/>
      <c r="AA530" s="9"/>
      <c r="AB530" s="21"/>
    </row>
    <row r="531" spans="1:28" x14ac:dyDescent="0.25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9"/>
      <c r="Y531" s="9"/>
      <c r="Z531" s="9"/>
      <c r="AA531" s="9"/>
      <c r="AB531" s="21"/>
    </row>
    <row r="532" spans="1:28" x14ac:dyDescent="0.25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9"/>
      <c r="Y532" s="9"/>
      <c r="Z532" s="9"/>
      <c r="AA532" s="9"/>
      <c r="AB532" s="21"/>
    </row>
    <row r="533" spans="1:28" x14ac:dyDescent="0.25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9"/>
      <c r="Y533" s="9"/>
      <c r="Z533" s="9"/>
      <c r="AA533" s="9"/>
      <c r="AB533" s="21"/>
    </row>
    <row r="534" spans="1:28" x14ac:dyDescent="0.25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9"/>
      <c r="Y534" s="9"/>
      <c r="Z534" s="9"/>
      <c r="AA534" s="9"/>
      <c r="AB534" s="21"/>
    </row>
    <row r="535" spans="1:28" x14ac:dyDescent="0.2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9"/>
      <c r="Y535" s="9"/>
      <c r="Z535" s="9"/>
      <c r="AA535" s="9"/>
      <c r="AB535" s="21"/>
    </row>
    <row r="536" spans="1:28" x14ac:dyDescent="0.25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9"/>
      <c r="Y536" s="9"/>
      <c r="Z536" s="9"/>
      <c r="AA536" s="9"/>
      <c r="AB536" s="21"/>
    </row>
    <row r="537" spans="1:28" x14ac:dyDescent="0.25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9"/>
      <c r="Y537" s="9"/>
      <c r="Z537" s="9"/>
      <c r="AA537" s="9"/>
      <c r="AB537" s="21"/>
    </row>
    <row r="538" spans="1:28" x14ac:dyDescent="0.25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9"/>
      <c r="Y538" s="9"/>
      <c r="Z538" s="9"/>
      <c r="AA538" s="9"/>
      <c r="AB538" s="21"/>
    </row>
    <row r="539" spans="1:28" x14ac:dyDescent="0.25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9"/>
      <c r="Y539" s="9"/>
      <c r="Z539" s="9"/>
      <c r="AA539" s="9"/>
      <c r="AB539" s="21"/>
    </row>
    <row r="540" spans="1:28" x14ac:dyDescent="0.25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9"/>
      <c r="Y540" s="9"/>
      <c r="Z540" s="9"/>
      <c r="AA540" s="9"/>
      <c r="AB540" s="21"/>
    </row>
    <row r="541" spans="1:28" x14ac:dyDescent="0.25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9"/>
      <c r="Y541" s="9"/>
      <c r="Z541" s="9"/>
      <c r="AA541" s="9"/>
      <c r="AB541" s="21"/>
    </row>
    <row r="542" spans="1:28" x14ac:dyDescent="0.25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9"/>
      <c r="Y542" s="9"/>
      <c r="Z542" s="9"/>
      <c r="AA542" s="9"/>
      <c r="AB542" s="21"/>
    </row>
    <row r="543" spans="1:28" x14ac:dyDescent="0.25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9"/>
      <c r="Y543" s="9"/>
      <c r="Z543" s="9"/>
      <c r="AA543" s="9"/>
      <c r="AB543" s="21"/>
    </row>
    <row r="544" spans="1:28" x14ac:dyDescent="0.25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9"/>
      <c r="Y544" s="9"/>
      <c r="Z544" s="9"/>
      <c r="AA544" s="9"/>
      <c r="AB544" s="21"/>
    </row>
    <row r="545" spans="1:28" x14ac:dyDescent="0.2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9"/>
      <c r="Y545" s="9"/>
      <c r="Z545" s="9"/>
      <c r="AA545" s="9"/>
      <c r="AB545" s="21"/>
    </row>
    <row r="546" spans="1:28" x14ac:dyDescent="0.25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9"/>
      <c r="Y546" s="9"/>
      <c r="Z546" s="9"/>
      <c r="AA546" s="9"/>
      <c r="AB546" s="21"/>
    </row>
    <row r="547" spans="1:28" x14ac:dyDescent="0.25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9"/>
      <c r="Y547" s="9"/>
      <c r="Z547" s="9"/>
      <c r="AA547" s="9"/>
      <c r="AB547" s="21"/>
    </row>
    <row r="548" spans="1:28" x14ac:dyDescent="0.25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9"/>
      <c r="Y548" s="9"/>
      <c r="Z548" s="9"/>
      <c r="AA548" s="9"/>
      <c r="AB548" s="21"/>
    </row>
    <row r="549" spans="1:28" x14ac:dyDescent="0.25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9"/>
      <c r="Y549" s="9"/>
      <c r="Z549" s="9"/>
      <c r="AA549" s="9"/>
      <c r="AB549" s="21"/>
    </row>
    <row r="550" spans="1:28" x14ac:dyDescent="0.25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9"/>
      <c r="Y550" s="9"/>
      <c r="Z550" s="9"/>
      <c r="AA550" s="9"/>
      <c r="AB550" s="21"/>
    </row>
    <row r="551" spans="1:28" x14ac:dyDescent="0.25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9"/>
      <c r="Y551" s="9"/>
      <c r="Z551" s="9"/>
      <c r="AA551" s="9"/>
      <c r="AB551" s="21"/>
    </row>
    <row r="552" spans="1:28" x14ac:dyDescent="0.25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9"/>
      <c r="Y552" s="9"/>
      <c r="Z552" s="9"/>
      <c r="AA552" s="9"/>
      <c r="AB552" s="21"/>
    </row>
    <row r="553" spans="1:28" x14ac:dyDescent="0.25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9"/>
      <c r="Y553" s="9"/>
      <c r="Z553" s="9"/>
      <c r="AA553" s="9"/>
      <c r="AB553" s="21"/>
    </row>
    <row r="554" spans="1:28" x14ac:dyDescent="0.25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9"/>
      <c r="Y554" s="9"/>
      <c r="Z554" s="9"/>
      <c r="AA554" s="9"/>
      <c r="AB554" s="21"/>
    </row>
    <row r="555" spans="1:28" x14ac:dyDescent="0.2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9"/>
      <c r="Y555" s="9"/>
      <c r="Z555" s="9"/>
      <c r="AA555" s="9"/>
      <c r="AB555" s="21"/>
    </row>
    <row r="556" spans="1:28" x14ac:dyDescent="0.25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9"/>
      <c r="Y556" s="9"/>
      <c r="Z556" s="9"/>
      <c r="AA556" s="9"/>
      <c r="AB556" s="21"/>
    </row>
    <row r="557" spans="1:28" x14ac:dyDescent="0.25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9"/>
      <c r="Y557" s="9"/>
      <c r="Z557" s="9"/>
      <c r="AA557" s="9"/>
      <c r="AB557" s="21"/>
    </row>
    <row r="558" spans="1:28" x14ac:dyDescent="0.25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9"/>
      <c r="Y558" s="9"/>
      <c r="Z558" s="9"/>
      <c r="AA558" s="9"/>
      <c r="AB558" s="21"/>
    </row>
    <row r="559" spans="1:28" x14ac:dyDescent="0.25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9"/>
      <c r="Y559" s="9"/>
      <c r="Z559" s="9"/>
      <c r="AA559" s="9"/>
      <c r="AB559" s="21"/>
    </row>
    <row r="560" spans="1:28" x14ac:dyDescent="0.25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9"/>
      <c r="Y560" s="9"/>
      <c r="Z560" s="9"/>
      <c r="AA560" s="9"/>
      <c r="AB560" s="21"/>
    </row>
    <row r="561" spans="1:28" x14ac:dyDescent="0.25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9"/>
      <c r="Y561" s="9"/>
      <c r="Z561" s="9"/>
      <c r="AA561" s="9"/>
      <c r="AB561" s="21"/>
    </row>
    <row r="562" spans="1:28" x14ac:dyDescent="0.25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9"/>
      <c r="Y562" s="9"/>
      <c r="Z562" s="9"/>
      <c r="AA562" s="9"/>
      <c r="AB562" s="21"/>
    </row>
    <row r="563" spans="1:28" x14ac:dyDescent="0.25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9"/>
      <c r="Y563" s="9"/>
      <c r="Z563" s="9"/>
      <c r="AA563" s="9"/>
      <c r="AB563" s="21"/>
    </row>
    <row r="564" spans="1:28" x14ac:dyDescent="0.25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9"/>
      <c r="Y564" s="9"/>
      <c r="Z564" s="9"/>
      <c r="AA564" s="9"/>
      <c r="AB564" s="21"/>
    </row>
    <row r="565" spans="1:28" x14ac:dyDescent="0.2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9"/>
      <c r="Y565" s="9"/>
      <c r="Z565" s="9"/>
      <c r="AA565" s="9"/>
      <c r="AB565" s="21"/>
    </row>
    <row r="566" spans="1:28" x14ac:dyDescent="0.25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9"/>
      <c r="Y566" s="9"/>
      <c r="Z566" s="9"/>
      <c r="AA566" s="9"/>
      <c r="AB566" s="21"/>
    </row>
    <row r="567" spans="1:28" x14ac:dyDescent="0.25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9"/>
      <c r="Y567" s="9"/>
      <c r="Z567" s="9"/>
      <c r="AA567" s="9"/>
      <c r="AB567" s="21"/>
    </row>
    <row r="568" spans="1:28" x14ac:dyDescent="0.25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9"/>
      <c r="Y568" s="9"/>
      <c r="Z568" s="9"/>
      <c r="AA568" s="9"/>
      <c r="AB568" s="21"/>
    </row>
    <row r="569" spans="1:28" x14ac:dyDescent="0.25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9"/>
      <c r="Y569" s="9"/>
      <c r="Z569" s="9"/>
      <c r="AA569" s="9"/>
      <c r="AB569" s="21"/>
    </row>
    <row r="570" spans="1:28" x14ac:dyDescent="0.25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9"/>
      <c r="Y570" s="9"/>
      <c r="Z570" s="9"/>
      <c r="AA570" s="9"/>
      <c r="AB570" s="21"/>
    </row>
    <row r="571" spans="1:28" x14ac:dyDescent="0.25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9"/>
      <c r="Y571" s="9"/>
      <c r="Z571" s="9"/>
      <c r="AA571" s="9"/>
      <c r="AB571" s="21"/>
    </row>
    <row r="572" spans="1:28" x14ac:dyDescent="0.25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9"/>
      <c r="Y572" s="9"/>
      <c r="Z572" s="9"/>
      <c r="AA572" s="9"/>
      <c r="AB572" s="21"/>
    </row>
    <row r="573" spans="1:28" x14ac:dyDescent="0.25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9"/>
      <c r="Y573" s="9"/>
      <c r="Z573" s="9"/>
      <c r="AA573" s="9"/>
      <c r="AB573" s="21"/>
    </row>
    <row r="574" spans="1:28" x14ac:dyDescent="0.25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9"/>
      <c r="Y574" s="9"/>
      <c r="Z574" s="9"/>
      <c r="AA574" s="9"/>
      <c r="AB574" s="21"/>
    </row>
    <row r="575" spans="1:28" x14ac:dyDescent="0.2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9"/>
      <c r="Y575" s="9"/>
      <c r="Z575" s="9"/>
      <c r="AA575" s="9"/>
      <c r="AB575" s="21"/>
    </row>
    <row r="576" spans="1:28" x14ac:dyDescent="0.25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9"/>
      <c r="Y576" s="9"/>
      <c r="Z576" s="9"/>
      <c r="AA576" s="9"/>
      <c r="AB576" s="21"/>
    </row>
    <row r="577" spans="1:28" x14ac:dyDescent="0.25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9"/>
      <c r="Y577" s="9"/>
      <c r="Z577" s="9"/>
      <c r="AA577" s="9"/>
      <c r="AB577" s="21"/>
    </row>
    <row r="578" spans="1:28" x14ac:dyDescent="0.25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9"/>
      <c r="Y578" s="9"/>
      <c r="Z578" s="9"/>
      <c r="AA578" s="9"/>
      <c r="AB578" s="21"/>
    </row>
    <row r="579" spans="1:28" x14ac:dyDescent="0.25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9"/>
      <c r="Y579" s="9"/>
      <c r="Z579" s="9"/>
      <c r="AA579" s="9"/>
      <c r="AB579" s="21"/>
    </row>
    <row r="580" spans="1:28" x14ac:dyDescent="0.25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9"/>
      <c r="Y580" s="9"/>
      <c r="Z580" s="9"/>
      <c r="AA580" s="9"/>
      <c r="AB580" s="21"/>
    </row>
    <row r="581" spans="1:28" x14ac:dyDescent="0.25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9"/>
      <c r="Y581" s="9"/>
      <c r="Z581" s="9"/>
      <c r="AA581" s="9"/>
      <c r="AB581" s="21"/>
    </row>
    <row r="582" spans="1:28" x14ac:dyDescent="0.25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9"/>
      <c r="Y582" s="9"/>
      <c r="Z582" s="9"/>
      <c r="AA582" s="9"/>
      <c r="AB582" s="21"/>
    </row>
    <row r="583" spans="1:28" x14ac:dyDescent="0.25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9"/>
      <c r="Y583" s="9"/>
      <c r="Z583" s="9"/>
      <c r="AA583" s="9"/>
      <c r="AB583" s="21"/>
    </row>
    <row r="584" spans="1:28" x14ac:dyDescent="0.25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9"/>
      <c r="Y584" s="9"/>
      <c r="Z584" s="9"/>
      <c r="AA584" s="9"/>
      <c r="AB584" s="21"/>
    </row>
    <row r="585" spans="1:28" x14ac:dyDescent="0.2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9"/>
      <c r="Y585" s="9"/>
      <c r="Z585" s="9"/>
      <c r="AA585" s="9"/>
      <c r="AB585" s="21"/>
    </row>
    <row r="586" spans="1:28" x14ac:dyDescent="0.25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9"/>
      <c r="Y586" s="9"/>
      <c r="Z586" s="9"/>
      <c r="AA586" s="9"/>
      <c r="AB586" s="21"/>
    </row>
    <row r="587" spans="1:28" x14ac:dyDescent="0.25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9"/>
      <c r="Y587" s="9"/>
      <c r="Z587" s="9"/>
      <c r="AA587" s="9"/>
      <c r="AB587" s="21"/>
    </row>
    <row r="588" spans="1:28" x14ac:dyDescent="0.25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9"/>
      <c r="Y588" s="9"/>
      <c r="Z588" s="9"/>
      <c r="AA588" s="9"/>
      <c r="AB588" s="21"/>
    </row>
    <row r="589" spans="1:28" x14ac:dyDescent="0.25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9"/>
      <c r="Y589" s="9"/>
      <c r="Z589" s="9"/>
      <c r="AA589" s="9"/>
      <c r="AB589" s="21"/>
    </row>
    <row r="590" spans="1:28" x14ac:dyDescent="0.25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9"/>
      <c r="Y590" s="9"/>
      <c r="Z590" s="9"/>
      <c r="AA590" s="9"/>
      <c r="AB590" s="21"/>
    </row>
    <row r="591" spans="1:28" x14ac:dyDescent="0.25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9"/>
      <c r="Y591" s="9"/>
      <c r="Z591" s="9"/>
      <c r="AA591" s="9"/>
      <c r="AB591" s="21"/>
    </row>
    <row r="592" spans="1:28" x14ac:dyDescent="0.25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9"/>
      <c r="Y592" s="9"/>
      <c r="Z592" s="9"/>
      <c r="AA592" s="9"/>
      <c r="AB592" s="21"/>
    </row>
    <row r="593" spans="1:28" x14ac:dyDescent="0.25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9"/>
      <c r="Y593" s="9"/>
      <c r="Z593" s="9"/>
      <c r="AA593" s="9"/>
      <c r="AB593" s="21"/>
    </row>
    <row r="594" spans="1:28" x14ac:dyDescent="0.25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9"/>
      <c r="Y594" s="9"/>
      <c r="Z594" s="9"/>
      <c r="AA594" s="9"/>
      <c r="AB594" s="21"/>
    </row>
    <row r="595" spans="1:28" x14ac:dyDescent="0.2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9"/>
      <c r="Y595" s="9"/>
      <c r="Z595" s="9"/>
      <c r="AA595" s="9"/>
      <c r="AB595" s="21"/>
    </row>
    <row r="596" spans="1:28" x14ac:dyDescent="0.25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9"/>
      <c r="Y596" s="9"/>
      <c r="Z596" s="9"/>
      <c r="AA596" s="9"/>
      <c r="AB596" s="21"/>
    </row>
    <row r="597" spans="1:28" x14ac:dyDescent="0.25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9"/>
      <c r="Y597" s="9"/>
      <c r="Z597" s="9"/>
      <c r="AA597" s="9"/>
      <c r="AB597" s="21"/>
    </row>
    <row r="598" spans="1:28" x14ac:dyDescent="0.25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9"/>
      <c r="Y598" s="9"/>
      <c r="Z598" s="9"/>
      <c r="AA598" s="9"/>
      <c r="AB598" s="21"/>
    </row>
    <row r="599" spans="1:28" x14ac:dyDescent="0.25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9"/>
      <c r="Y599" s="9"/>
      <c r="Z599" s="9"/>
      <c r="AA599" s="9"/>
      <c r="AB599" s="21"/>
    </row>
    <row r="600" spans="1:28" x14ac:dyDescent="0.25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9"/>
      <c r="Y600" s="9"/>
      <c r="Z600" s="9"/>
      <c r="AA600" s="9"/>
      <c r="AB600" s="21"/>
    </row>
    <row r="601" spans="1:28" x14ac:dyDescent="0.25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9"/>
      <c r="Y601" s="9"/>
      <c r="Z601" s="9"/>
      <c r="AA601" s="9"/>
      <c r="AB601" s="21"/>
    </row>
    <row r="602" spans="1:28" x14ac:dyDescent="0.25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9"/>
      <c r="Y602" s="9"/>
      <c r="Z602" s="9"/>
      <c r="AA602" s="9"/>
      <c r="AB602" s="21"/>
    </row>
    <row r="603" spans="1:28" x14ac:dyDescent="0.25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9"/>
      <c r="Y603" s="9"/>
      <c r="Z603" s="9"/>
      <c r="AA603" s="9"/>
      <c r="AB603" s="21"/>
    </row>
    <row r="604" spans="1:28" x14ac:dyDescent="0.25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9"/>
      <c r="Y604" s="9"/>
      <c r="Z604" s="9"/>
      <c r="AA604" s="9"/>
      <c r="AB604" s="21"/>
    </row>
    <row r="605" spans="1:28" x14ac:dyDescent="0.2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9"/>
      <c r="Y605" s="9"/>
      <c r="Z605" s="9"/>
      <c r="AA605" s="9"/>
      <c r="AB605" s="21"/>
    </row>
    <row r="606" spans="1:28" x14ac:dyDescent="0.25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9"/>
      <c r="Y606" s="9"/>
      <c r="Z606" s="9"/>
      <c r="AA606" s="9"/>
      <c r="AB606" s="21"/>
    </row>
    <row r="607" spans="1:28" x14ac:dyDescent="0.25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9"/>
      <c r="Y607" s="9"/>
      <c r="Z607" s="9"/>
      <c r="AA607" s="9"/>
      <c r="AB607" s="21"/>
    </row>
    <row r="608" spans="1:28" x14ac:dyDescent="0.25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9"/>
      <c r="Y608" s="9"/>
      <c r="Z608" s="9"/>
      <c r="AA608" s="9"/>
      <c r="AB608" s="21"/>
    </row>
    <row r="609" spans="1:28" x14ac:dyDescent="0.25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9"/>
      <c r="Y609" s="9"/>
      <c r="Z609" s="9"/>
      <c r="AA609" s="9"/>
      <c r="AB609" s="21"/>
    </row>
    <row r="610" spans="1:28" x14ac:dyDescent="0.25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9"/>
      <c r="Y610" s="9"/>
      <c r="Z610" s="9"/>
      <c r="AA610" s="9"/>
      <c r="AB610" s="21"/>
    </row>
    <row r="611" spans="1:28" x14ac:dyDescent="0.25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9"/>
      <c r="Y611" s="9"/>
      <c r="Z611" s="9"/>
      <c r="AA611" s="9"/>
      <c r="AB611" s="21"/>
    </row>
    <row r="612" spans="1:28" x14ac:dyDescent="0.25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9"/>
      <c r="Y612" s="9"/>
      <c r="Z612" s="9"/>
      <c r="AA612" s="9"/>
      <c r="AB612" s="21"/>
    </row>
    <row r="613" spans="1:28" x14ac:dyDescent="0.25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9"/>
      <c r="Y613" s="9"/>
      <c r="Z613" s="9"/>
      <c r="AA613" s="9"/>
      <c r="AB613" s="21"/>
    </row>
    <row r="614" spans="1:28" x14ac:dyDescent="0.25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9"/>
      <c r="Y614" s="9"/>
      <c r="Z614" s="9"/>
      <c r="AA614" s="9"/>
      <c r="AB614" s="21"/>
    </row>
    <row r="615" spans="1:28" x14ac:dyDescent="0.2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9"/>
      <c r="Y615" s="9"/>
      <c r="Z615" s="9"/>
      <c r="AA615" s="9"/>
      <c r="AB615" s="21"/>
    </row>
    <row r="616" spans="1:28" x14ac:dyDescent="0.25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9"/>
      <c r="Y616" s="9"/>
      <c r="Z616" s="9"/>
      <c r="AA616" s="9"/>
      <c r="AB616" s="21"/>
    </row>
    <row r="617" spans="1:28" x14ac:dyDescent="0.25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9"/>
      <c r="Y617" s="9"/>
      <c r="Z617" s="9"/>
      <c r="AA617" s="9"/>
      <c r="AB617" s="21"/>
    </row>
    <row r="618" spans="1:28" x14ac:dyDescent="0.25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9"/>
      <c r="Y618" s="9"/>
      <c r="Z618" s="9"/>
      <c r="AA618" s="9"/>
      <c r="AB618" s="21"/>
    </row>
    <row r="619" spans="1:28" x14ac:dyDescent="0.25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9"/>
      <c r="Y619" s="9"/>
      <c r="Z619" s="9"/>
      <c r="AA619" s="9"/>
      <c r="AB619" s="21"/>
    </row>
    <row r="620" spans="1:28" x14ac:dyDescent="0.25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9"/>
      <c r="Y620" s="9"/>
      <c r="Z620" s="9"/>
      <c r="AA620" s="9"/>
      <c r="AB620" s="21"/>
    </row>
    <row r="621" spans="1:28" x14ac:dyDescent="0.25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9"/>
      <c r="Y621" s="9"/>
      <c r="Z621" s="9"/>
      <c r="AA621" s="9"/>
      <c r="AB621" s="21"/>
    </row>
    <row r="622" spans="1:28" x14ac:dyDescent="0.25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9"/>
      <c r="Y622" s="9"/>
      <c r="Z622" s="9"/>
      <c r="AA622" s="9"/>
      <c r="AB622" s="21"/>
    </row>
    <row r="623" spans="1:28" x14ac:dyDescent="0.25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9"/>
      <c r="Y623" s="9"/>
      <c r="Z623" s="9"/>
      <c r="AA623" s="9"/>
      <c r="AB623" s="21"/>
    </row>
    <row r="624" spans="1:28" x14ac:dyDescent="0.25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9"/>
      <c r="Y624" s="9"/>
      <c r="Z624" s="9"/>
      <c r="AA624" s="9"/>
      <c r="AB624" s="21"/>
    </row>
    <row r="625" spans="1:28" x14ac:dyDescent="0.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9"/>
      <c r="Y625" s="9"/>
      <c r="Z625" s="9"/>
      <c r="AA625" s="9"/>
      <c r="AB625" s="21"/>
    </row>
    <row r="626" spans="1:28" x14ac:dyDescent="0.25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9"/>
      <c r="Y626" s="9"/>
      <c r="Z626" s="9"/>
      <c r="AA626" s="9"/>
      <c r="AB626" s="21"/>
    </row>
    <row r="627" spans="1:28" x14ac:dyDescent="0.25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9"/>
      <c r="Y627" s="9"/>
      <c r="Z627" s="9"/>
      <c r="AA627" s="9"/>
      <c r="AB627" s="21"/>
    </row>
    <row r="628" spans="1:28" x14ac:dyDescent="0.25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9"/>
      <c r="Y628" s="9"/>
      <c r="Z628" s="9"/>
      <c r="AA628" s="9"/>
      <c r="AB628" s="21"/>
    </row>
    <row r="629" spans="1:28" x14ac:dyDescent="0.25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9"/>
      <c r="Y629" s="9"/>
      <c r="Z629" s="9"/>
      <c r="AA629" s="9"/>
      <c r="AB629" s="21"/>
    </row>
    <row r="630" spans="1:28" x14ac:dyDescent="0.25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9"/>
      <c r="Y630" s="9"/>
      <c r="Z630" s="9"/>
      <c r="AA630" s="9"/>
      <c r="AB630" s="21"/>
    </row>
    <row r="631" spans="1:28" x14ac:dyDescent="0.25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9"/>
      <c r="Y631" s="9"/>
      <c r="Z631" s="9"/>
      <c r="AA631" s="9"/>
      <c r="AB631" s="21"/>
    </row>
    <row r="632" spans="1:28" x14ac:dyDescent="0.25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9"/>
      <c r="Y632" s="9"/>
      <c r="Z632" s="9"/>
      <c r="AA632" s="9"/>
      <c r="AB632" s="21"/>
    </row>
    <row r="633" spans="1:28" x14ac:dyDescent="0.25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9"/>
      <c r="Y633" s="9"/>
      <c r="Z633" s="9"/>
      <c r="AA633" s="9"/>
      <c r="AB633" s="21"/>
    </row>
    <row r="634" spans="1:28" x14ac:dyDescent="0.25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9"/>
      <c r="Y634" s="9"/>
      <c r="Z634" s="9"/>
      <c r="AA634" s="9"/>
      <c r="AB634" s="21"/>
    </row>
    <row r="635" spans="1:28" x14ac:dyDescent="0.2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9"/>
      <c r="Y635" s="9"/>
      <c r="Z635" s="9"/>
      <c r="AA635" s="9"/>
      <c r="AB635" s="21"/>
    </row>
    <row r="636" spans="1:28" x14ac:dyDescent="0.25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9"/>
      <c r="Y636" s="9"/>
      <c r="Z636" s="9"/>
      <c r="AA636" s="9"/>
      <c r="AB636" s="21"/>
    </row>
    <row r="637" spans="1:28" x14ac:dyDescent="0.25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9"/>
      <c r="Y637" s="9"/>
      <c r="Z637" s="9"/>
      <c r="AA637" s="9"/>
      <c r="AB637" s="21"/>
    </row>
    <row r="638" spans="1:28" x14ac:dyDescent="0.2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9"/>
      <c r="Y638" s="9"/>
      <c r="Z638" s="9"/>
      <c r="AA638" s="9"/>
      <c r="AB638" s="21"/>
    </row>
    <row r="639" spans="1:28" x14ac:dyDescent="0.2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9"/>
      <c r="Y639" s="9"/>
      <c r="Z639" s="9"/>
      <c r="AA639" s="9"/>
      <c r="AB639" s="21"/>
    </row>
    <row r="640" spans="1:28" x14ac:dyDescent="0.2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9"/>
      <c r="Y640" s="9"/>
      <c r="Z640" s="9"/>
      <c r="AA640" s="9"/>
      <c r="AB640" s="21"/>
    </row>
    <row r="641" spans="1:28" x14ac:dyDescent="0.2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9"/>
      <c r="Y641" s="9"/>
      <c r="Z641" s="9"/>
      <c r="AA641" s="9"/>
      <c r="AB641" s="21"/>
    </row>
    <row r="642" spans="1:28" x14ac:dyDescent="0.2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9"/>
      <c r="Y642" s="9"/>
      <c r="Z642" s="9"/>
      <c r="AA642" s="9"/>
      <c r="AB642" s="21"/>
    </row>
    <row r="643" spans="1:28" x14ac:dyDescent="0.2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9"/>
      <c r="Y643" s="9"/>
      <c r="Z643" s="9"/>
      <c r="AA643" s="9"/>
      <c r="AB643" s="21"/>
    </row>
    <row r="644" spans="1:28" x14ac:dyDescent="0.2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9"/>
      <c r="Y644" s="9"/>
      <c r="Z644" s="9"/>
      <c r="AA644" s="9"/>
      <c r="AB644" s="21"/>
    </row>
    <row r="645" spans="1:28" x14ac:dyDescent="0.2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9"/>
      <c r="Y645" s="9"/>
      <c r="Z645" s="9"/>
      <c r="AA645" s="9"/>
      <c r="AB645" s="21"/>
    </row>
    <row r="646" spans="1:28" x14ac:dyDescent="0.2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9"/>
      <c r="Y646" s="9"/>
      <c r="Z646" s="9"/>
      <c r="AA646" s="9"/>
      <c r="AB646" s="21"/>
    </row>
    <row r="647" spans="1:28" x14ac:dyDescent="0.2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9"/>
      <c r="Y647" s="9"/>
      <c r="Z647" s="9"/>
      <c r="AA647" s="9"/>
      <c r="AB647" s="21"/>
    </row>
    <row r="648" spans="1:28" x14ac:dyDescent="0.2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9"/>
      <c r="Y648" s="9"/>
      <c r="Z648" s="9"/>
      <c r="AA648" s="9"/>
      <c r="AB648" s="21"/>
    </row>
    <row r="649" spans="1:28" x14ac:dyDescent="0.2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9"/>
      <c r="Y649" s="9"/>
      <c r="Z649" s="9"/>
      <c r="AA649" s="9"/>
      <c r="AB649" s="21"/>
    </row>
    <row r="650" spans="1:28" x14ac:dyDescent="0.2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9"/>
      <c r="Y650" s="9"/>
      <c r="Z650" s="9"/>
      <c r="AA650" s="9"/>
      <c r="AB650" s="21"/>
    </row>
    <row r="651" spans="1:28" x14ac:dyDescent="0.2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9"/>
      <c r="Y651" s="9"/>
      <c r="Z651" s="9"/>
      <c r="AA651" s="9"/>
      <c r="AB651" s="21"/>
    </row>
    <row r="652" spans="1:28" x14ac:dyDescent="0.2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9"/>
      <c r="Y652" s="9"/>
      <c r="Z652" s="9"/>
      <c r="AA652" s="9"/>
      <c r="AB652" s="21"/>
    </row>
    <row r="653" spans="1:28" x14ac:dyDescent="0.2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9"/>
      <c r="Y653" s="9"/>
      <c r="Z653" s="9"/>
      <c r="AA653" s="9"/>
      <c r="AB653" s="21"/>
    </row>
    <row r="654" spans="1:28" x14ac:dyDescent="0.2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9"/>
      <c r="Y654" s="9"/>
      <c r="Z654" s="9"/>
      <c r="AA654" s="9"/>
      <c r="AB654" s="21"/>
    </row>
    <row r="655" spans="1:28" x14ac:dyDescent="0.2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9"/>
      <c r="Y655" s="9"/>
      <c r="Z655" s="9"/>
      <c r="AA655" s="9"/>
      <c r="AB655" s="21"/>
    </row>
    <row r="656" spans="1:28" x14ac:dyDescent="0.2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9"/>
      <c r="Y656" s="9"/>
      <c r="Z656" s="9"/>
      <c r="AA656" s="9"/>
      <c r="AB656" s="21"/>
    </row>
    <row r="657" spans="1:28" x14ac:dyDescent="0.2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9"/>
      <c r="Y657" s="9"/>
      <c r="Z657" s="9"/>
      <c r="AA657" s="9"/>
      <c r="AB657" s="21"/>
    </row>
    <row r="658" spans="1:28" x14ac:dyDescent="0.2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9"/>
      <c r="Y658" s="9"/>
      <c r="Z658" s="9"/>
      <c r="AA658" s="9"/>
      <c r="AB658" s="21"/>
    </row>
    <row r="659" spans="1:28" x14ac:dyDescent="0.2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9"/>
      <c r="Y659" s="9"/>
      <c r="Z659" s="9"/>
      <c r="AA659" s="9"/>
      <c r="AB659" s="21"/>
    </row>
    <row r="660" spans="1:28" x14ac:dyDescent="0.2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9"/>
      <c r="Y660" s="9"/>
      <c r="Z660" s="9"/>
      <c r="AA660" s="9"/>
      <c r="AB660" s="21"/>
    </row>
    <row r="661" spans="1:28" x14ac:dyDescent="0.2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9"/>
      <c r="Y661" s="9"/>
      <c r="Z661" s="9"/>
      <c r="AA661" s="9"/>
      <c r="AB661" s="21"/>
    </row>
    <row r="662" spans="1:28" x14ac:dyDescent="0.2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9"/>
      <c r="Y662" s="9"/>
      <c r="Z662" s="9"/>
      <c r="AA662" s="9"/>
      <c r="AB662" s="21"/>
    </row>
    <row r="663" spans="1:28" x14ac:dyDescent="0.2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9"/>
      <c r="Y663" s="9"/>
      <c r="Z663" s="9"/>
      <c r="AA663" s="9"/>
      <c r="AB663" s="21"/>
    </row>
    <row r="664" spans="1:28" x14ac:dyDescent="0.2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9"/>
      <c r="Y664" s="9"/>
      <c r="Z664" s="9"/>
      <c r="AA664" s="9"/>
      <c r="AB664" s="21"/>
    </row>
    <row r="665" spans="1:28" x14ac:dyDescent="0.2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9"/>
      <c r="Y665" s="9"/>
      <c r="Z665" s="9"/>
      <c r="AA665" s="9"/>
      <c r="AB665" s="21"/>
    </row>
    <row r="666" spans="1:28" x14ac:dyDescent="0.2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9"/>
      <c r="Y666" s="9"/>
      <c r="Z666" s="9"/>
      <c r="AA666" s="9"/>
      <c r="AB666" s="21"/>
    </row>
    <row r="667" spans="1:28" x14ac:dyDescent="0.2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9"/>
      <c r="Y667" s="9"/>
      <c r="Z667" s="9"/>
      <c r="AA667" s="9"/>
      <c r="AB667" s="21"/>
    </row>
    <row r="668" spans="1:28" x14ac:dyDescent="0.2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9"/>
      <c r="Y668" s="9"/>
      <c r="Z668" s="9"/>
      <c r="AA668" s="9"/>
      <c r="AB668" s="21"/>
    </row>
    <row r="669" spans="1:28" x14ac:dyDescent="0.2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9"/>
      <c r="Y669" s="9"/>
      <c r="Z669" s="9"/>
      <c r="AA669" s="9"/>
      <c r="AB669" s="21"/>
    </row>
    <row r="670" spans="1:28" x14ac:dyDescent="0.2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9"/>
      <c r="Y670" s="9"/>
      <c r="Z670" s="9"/>
      <c r="AA670" s="9"/>
      <c r="AB670" s="21"/>
    </row>
    <row r="671" spans="1:28" x14ac:dyDescent="0.2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9"/>
      <c r="Y671" s="9"/>
      <c r="Z671" s="9"/>
      <c r="AA671" s="9"/>
      <c r="AB671" s="21"/>
    </row>
    <row r="672" spans="1:28" x14ac:dyDescent="0.2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9"/>
      <c r="Y672" s="9"/>
      <c r="Z672" s="9"/>
      <c r="AA672" s="9"/>
      <c r="AB672" s="21"/>
    </row>
    <row r="673" spans="1:28" x14ac:dyDescent="0.2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9"/>
      <c r="Y673" s="9"/>
      <c r="Z673" s="9"/>
      <c r="AA673" s="9"/>
      <c r="AB673" s="21"/>
    </row>
    <row r="674" spans="1:28" x14ac:dyDescent="0.2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9"/>
      <c r="Y674" s="9"/>
      <c r="Z674" s="9"/>
      <c r="AA674" s="9"/>
      <c r="AB674" s="21"/>
    </row>
    <row r="675" spans="1:28" x14ac:dyDescent="0.2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9"/>
      <c r="Y675" s="9"/>
      <c r="Z675" s="9"/>
      <c r="AA675" s="9"/>
      <c r="AB675" s="21"/>
    </row>
    <row r="676" spans="1:28" x14ac:dyDescent="0.2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9"/>
      <c r="Y676" s="9"/>
      <c r="Z676" s="9"/>
      <c r="AA676" s="9"/>
      <c r="AB676" s="21"/>
    </row>
    <row r="677" spans="1:28" x14ac:dyDescent="0.2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9"/>
      <c r="Y677" s="9"/>
      <c r="Z677" s="9"/>
      <c r="AA677" s="9"/>
      <c r="AB677" s="21"/>
    </row>
    <row r="678" spans="1:28" x14ac:dyDescent="0.2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9"/>
      <c r="Y678" s="9"/>
      <c r="Z678" s="9"/>
      <c r="AA678" s="9"/>
      <c r="AB678" s="21"/>
    </row>
    <row r="679" spans="1:28" x14ac:dyDescent="0.2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9"/>
      <c r="Y679" s="9"/>
      <c r="Z679" s="9"/>
      <c r="AA679" s="9"/>
      <c r="AB679" s="21"/>
    </row>
    <row r="680" spans="1:28" x14ac:dyDescent="0.2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9"/>
      <c r="Y680" s="9"/>
      <c r="Z680" s="9"/>
      <c r="AA680" s="9"/>
      <c r="AB680" s="21"/>
    </row>
    <row r="681" spans="1:28" x14ac:dyDescent="0.2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9"/>
      <c r="Y681" s="9"/>
      <c r="Z681" s="9"/>
      <c r="AA681" s="9"/>
      <c r="AB681" s="21"/>
    </row>
    <row r="682" spans="1:28" x14ac:dyDescent="0.2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9"/>
      <c r="Y682" s="9"/>
      <c r="Z682" s="9"/>
      <c r="AA682" s="9"/>
      <c r="AB682" s="21"/>
    </row>
    <row r="683" spans="1:28" x14ac:dyDescent="0.2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9"/>
      <c r="Y683" s="9"/>
      <c r="Z683" s="9"/>
      <c r="AA683" s="9"/>
      <c r="AB683" s="21"/>
    </row>
    <row r="684" spans="1:28" x14ac:dyDescent="0.2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9"/>
      <c r="Y684" s="9"/>
      <c r="Z684" s="9"/>
      <c r="AA684" s="9"/>
      <c r="AB684" s="21"/>
    </row>
    <row r="685" spans="1:28" x14ac:dyDescent="0.2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9"/>
      <c r="Y685" s="9"/>
      <c r="Z685" s="9"/>
      <c r="AA685" s="9"/>
      <c r="AB685" s="21"/>
    </row>
    <row r="686" spans="1:28" x14ac:dyDescent="0.2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9"/>
      <c r="Y686" s="9"/>
      <c r="Z686" s="9"/>
      <c r="AA686" s="9"/>
      <c r="AB686" s="21"/>
    </row>
    <row r="687" spans="1:28" x14ac:dyDescent="0.2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9"/>
      <c r="Y687" s="9"/>
      <c r="Z687" s="9"/>
      <c r="AA687" s="9"/>
      <c r="AB687" s="21"/>
    </row>
    <row r="688" spans="1:28" x14ac:dyDescent="0.2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9"/>
      <c r="Y688" s="9"/>
      <c r="Z688" s="9"/>
      <c r="AA688" s="9"/>
      <c r="AB688" s="21"/>
    </row>
    <row r="689" spans="1:28" x14ac:dyDescent="0.2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9"/>
      <c r="Y689" s="9"/>
      <c r="Z689" s="9"/>
      <c r="AA689" s="9"/>
      <c r="AB689" s="21"/>
    </row>
    <row r="690" spans="1:28" x14ac:dyDescent="0.2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9"/>
      <c r="Y690" s="9"/>
      <c r="Z690" s="9"/>
      <c r="AA690" s="9"/>
      <c r="AB690" s="21"/>
    </row>
    <row r="691" spans="1:28" x14ac:dyDescent="0.2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9"/>
      <c r="Y691" s="9"/>
      <c r="Z691" s="9"/>
      <c r="AA691" s="9"/>
      <c r="AB691" s="21"/>
    </row>
    <row r="692" spans="1:28" x14ac:dyDescent="0.2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9"/>
      <c r="Y692" s="9"/>
      <c r="Z692" s="9"/>
      <c r="AA692" s="9"/>
      <c r="AB692" s="21"/>
    </row>
    <row r="693" spans="1:28" x14ac:dyDescent="0.2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9"/>
      <c r="Y693" s="9"/>
      <c r="Z693" s="9"/>
      <c r="AA693" s="9"/>
      <c r="AB693" s="21"/>
    </row>
    <row r="694" spans="1:28" x14ac:dyDescent="0.2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9"/>
      <c r="Y694" s="9"/>
      <c r="Z694" s="9"/>
      <c r="AA694" s="9"/>
      <c r="AB694" s="21"/>
    </row>
    <row r="695" spans="1:28" x14ac:dyDescent="0.2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9"/>
      <c r="Y695" s="9"/>
      <c r="Z695" s="9"/>
      <c r="AA695" s="9"/>
      <c r="AB695" s="21"/>
    </row>
    <row r="696" spans="1:28" x14ac:dyDescent="0.2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9"/>
      <c r="Y696" s="9"/>
      <c r="Z696" s="9"/>
      <c r="AA696" s="9"/>
      <c r="AB696" s="21"/>
    </row>
    <row r="697" spans="1:28" x14ac:dyDescent="0.2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9"/>
      <c r="Y697" s="9"/>
      <c r="Z697" s="9"/>
      <c r="AA697" s="9"/>
      <c r="AB697" s="21"/>
    </row>
    <row r="698" spans="1:28" x14ac:dyDescent="0.2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9"/>
      <c r="Y698" s="9"/>
      <c r="Z698" s="9"/>
      <c r="AA698" s="9"/>
      <c r="AB698" s="21"/>
    </row>
    <row r="699" spans="1:28" x14ac:dyDescent="0.2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9"/>
      <c r="Y699" s="9"/>
      <c r="Z699" s="9"/>
      <c r="AA699" s="9"/>
      <c r="AB699" s="21"/>
    </row>
    <row r="700" spans="1:28" x14ac:dyDescent="0.2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9"/>
      <c r="Y700" s="9"/>
      <c r="Z700" s="9"/>
      <c r="AA700" s="9"/>
      <c r="AB700" s="21"/>
    </row>
    <row r="701" spans="1:28" x14ac:dyDescent="0.2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9"/>
      <c r="Y701" s="9"/>
      <c r="Z701" s="9"/>
      <c r="AA701" s="9"/>
      <c r="AB701" s="21"/>
    </row>
    <row r="702" spans="1:28" x14ac:dyDescent="0.2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9"/>
      <c r="Y702" s="9"/>
      <c r="Z702" s="9"/>
      <c r="AA702" s="9"/>
      <c r="AB702" s="21"/>
    </row>
    <row r="703" spans="1:28" x14ac:dyDescent="0.2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9"/>
      <c r="Y703" s="9"/>
      <c r="Z703" s="9"/>
      <c r="AA703" s="9"/>
      <c r="AB703" s="21"/>
    </row>
    <row r="704" spans="1:28" x14ac:dyDescent="0.2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9"/>
      <c r="Y704" s="9"/>
      <c r="Z704" s="9"/>
      <c r="AA704" s="9"/>
      <c r="AB704" s="21"/>
    </row>
    <row r="705" spans="1:28" x14ac:dyDescent="0.2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9"/>
      <c r="Y705" s="9"/>
      <c r="Z705" s="9"/>
      <c r="AA705" s="9"/>
      <c r="AB705" s="21"/>
    </row>
    <row r="706" spans="1:28" x14ac:dyDescent="0.2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9"/>
      <c r="Y706" s="9"/>
      <c r="Z706" s="9"/>
      <c r="AA706" s="9"/>
      <c r="AB706" s="21"/>
    </row>
    <row r="707" spans="1:28" x14ac:dyDescent="0.2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9"/>
      <c r="Y707" s="9"/>
      <c r="Z707" s="9"/>
      <c r="AA707" s="9"/>
      <c r="AB707" s="21"/>
    </row>
    <row r="708" spans="1:28" x14ac:dyDescent="0.2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9"/>
      <c r="Y708" s="9"/>
      <c r="Z708" s="9"/>
      <c r="AA708" s="9"/>
      <c r="AB708" s="21"/>
    </row>
    <row r="709" spans="1:28" x14ac:dyDescent="0.2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9"/>
      <c r="Y709" s="9"/>
      <c r="Z709" s="9"/>
      <c r="AA709" s="9"/>
      <c r="AB709" s="21"/>
    </row>
    <row r="710" spans="1:28" x14ac:dyDescent="0.2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9"/>
      <c r="Y710" s="9"/>
      <c r="Z710" s="9"/>
      <c r="AA710" s="9"/>
      <c r="AB710" s="21"/>
    </row>
    <row r="711" spans="1:28" x14ac:dyDescent="0.2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9"/>
      <c r="Y711" s="9"/>
      <c r="Z711" s="9"/>
      <c r="AA711" s="9"/>
      <c r="AB711" s="21"/>
    </row>
    <row r="712" spans="1:28" x14ac:dyDescent="0.2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9"/>
      <c r="Y712" s="9"/>
      <c r="Z712" s="9"/>
      <c r="AA712" s="9"/>
      <c r="AB712" s="21"/>
    </row>
    <row r="713" spans="1:28" x14ac:dyDescent="0.2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9"/>
      <c r="Y713" s="9"/>
      <c r="Z713" s="9"/>
      <c r="AA713" s="9"/>
      <c r="AB713" s="21"/>
    </row>
    <row r="714" spans="1:28" x14ac:dyDescent="0.2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9"/>
      <c r="Y714" s="9"/>
      <c r="Z714" s="9"/>
      <c r="AA714" s="9"/>
      <c r="AB714" s="21"/>
    </row>
    <row r="715" spans="1:28" x14ac:dyDescent="0.2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9"/>
      <c r="Y715" s="9"/>
      <c r="Z715" s="9"/>
      <c r="AA715" s="9"/>
      <c r="AB715" s="21"/>
    </row>
    <row r="716" spans="1:28" x14ac:dyDescent="0.2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9"/>
      <c r="Y716" s="9"/>
      <c r="Z716" s="9"/>
      <c r="AA716" s="9"/>
      <c r="AB716" s="21"/>
    </row>
    <row r="717" spans="1:28" x14ac:dyDescent="0.2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9"/>
      <c r="Y717" s="9"/>
      <c r="Z717" s="9"/>
      <c r="AA717" s="9"/>
      <c r="AB717" s="21"/>
    </row>
    <row r="718" spans="1:28" x14ac:dyDescent="0.2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9"/>
      <c r="Y718" s="9"/>
      <c r="Z718" s="9"/>
      <c r="AA718" s="9"/>
      <c r="AB718" s="21"/>
    </row>
    <row r="719" spans="1:28" x14ac:dyDescent="0.2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9"/>
      <c r="Y719" s="9"/>
      <c r="Z719" s="9"/>
      <c r="AA719" s="9"/>
      <c r="AB719" s="21"/>
    </row>
    <row r="720" spans="1:28" x14ac:dyDescent="0.2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9"/>
      <c r="Y720" s="9"/>
      <c r="Z720" s="9"/>
      <c r="AA720" s="9"/>
      <c r="AB720" s="21"/>
    </row>
    <row r="721" spans="1:28" x14ac:dyDescent="0.2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9"/>
      <c r="Y721" s="9"/>
      <c r="Z721" s="9"/>
      <c r="AA721" s="9"/>
      <c r="AB721" s="21"/>
    </row>
    <row r="722" spans="1:28" x14ac:dyDescent="0.2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9"/>
      <c r="Y722" s="9"/>
      <c r="Z722" s="9"/>
      <c r="AA722" s="9"/>
      <c r="AB722" s="21"/>
    </row>
    <row r="723" spans="1:28" x14ac:dyDescent="0.2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9"/>
      <c r="Y723" s="9"/>
      <c r="Z723" s="9"/>
      <c r="AA723" s="9"/>
      <c r="AB723" s="21"/>
    </row>
    <row r="724" spans="1:28" x14ac:dyDescent="0.2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9"/>
      <c r="Y724" s="9"/>
      <c r="Z724" s="9"/>
      <c r="AA724" s="9"/>
      <c r="AB724" s="21"/>
    </row>
    <row r="725" spans="1:28" x14ac:dyDescent="0.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9"/>
      <c r="Y725" s="9"/>
      <c r="Z725" s="9"/>
      <c r="AA725" s="9"/>
      <c r="AB725" s="21"/>
    </row>
    <row r="726" spans="1:28" x14ac:dyDescent="0.2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9"/>
      <c r="Y726" s="9"/>
      <c r="Z726" s="9"/>
      <c r="AA726" s="9"/>
      <c r="AB726" s="21"/>
    </row>
    <row r="727" spans="1:28" x14ac:dyDescent="0.2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9"/>
      <c r="Y727" s="9"/>
      <c r="Z727" s="9"/>
      <c r="AA727" s="9"/>
      <c r="AB727" s="21"/>
    </row>
    <row r="728" spans="1:28" x14ac:dyDescent="0.2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9"/>
      <c r="Y728" s="9"/>
      <c r="Z728" s="9"/>
      <c r="AA728" s="9"/>
      <c r="AB728" s="21"/>
    </row>
    <row r="729" spans="1:28" x14ac:dyDescent="0.2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9"/>
      <c r="Y729" s="9"/>
      <c r="Z729" s="9"/>
      <c r="AA729" s="9"/>
      <c r="AB729" s="21"/>
    </row>
    <row r="730" spans="1:28" x14ac:dyDescent="0.2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9"/>
      <c r="Y730" s="9"/>
      <c r="Z730" s="9"/>
      <c r="AA730" s="9"/>
      <c r="AB730" s="21"/>
    </row>
    <row r="731" spans="1:28" x14ac:dyDescent="0.2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9"/>
      <c r="Y731" s="9"/>
      <c r="Z731" s="9"/>
      <c r="AA731" s="9"/>
      <c r="AB731" s="21"/>
    </row>
    <row r="732" spans="1:28" x14ac:dyDescent="0.2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9"/>
      <c r="Y732" s="9"/>
      <c r="Z732" s="9"/>
      <c r="AA732" s="9"/>
      <c r="AB732" s="21"/>
    </row>
    <row r="733" spans="1:28" x14ac:dyDescent="0.2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9"/>
      <c r="Y733" s="9"/>
      <c r="Z733" s="9"/>
      <c r="AA733" s="9"/>
      <c r="AB733" s="21"/>
    </row>
    <row r="734" spans="1:28" x14ac:dyDescent="0.2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9"/>
      <c r="Y734" s="9"/>
      <c r="Z734" s="9"/>
      <c r="AA734" s="9"/>
      <c r="AB734" s="21"/>
    </row>
    <row r="735" spans="1:28" x14ac:dyDescent="0.2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9"/>
      <c r="Y735" s="9"/>
      <c r="Z735" s="9"/>
      <c r="AA735" s="9"/>
      <c r="AB735" s="21"/>
    </row>
    <row r="736" spans="1:28" x14ac:dyDescent="0.2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9"/>
      <c r="Y736" s="9"/>
      <c r="Z736" s="9"/>
      <c r="AA736" s="9"/>
      <c r="AB736" s="21"/>
    </row>
    <row r="737" spans="1:28" x14ac:dyDescent="0.2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9"/>
      <c r="Y737" s="9"/>
      <c r="Z737" s="9"/>
      <c r="AA737" s="9"/>
      <c r="AB737" s="21"/>
    </row>
    <row r="738" spans="1:28" x14ac:dyDescent="0.2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9"/>
      <c r="Y738" s="9"/>
      <c r="Z738" s="9"/>
      <c r="AA738" s="9"/>
      <c r="AB738" s="21"/>
    </row>
    <row r="739" spans="1:28" x14ac:dyDescent="0.2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9"/>
      <c r="Y739" s="9"/>
      <c r="Z739" s="9"/>
      <c r="AA739" s="9"/>
      <c r="AB739" s="21"/>
    </row>
    <row r="740" spans="1:28" x14ac:dyDescent="0.2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9"/>
      <c r="Y740" s="9"/>
      <c r="Z740" s="9"/>
      <c r="AA740" s="9"/>
      <c r="AB740" s="21"/>
    </row>
    <row r="741" spans="1:28" x14ac:dyDescent="0.2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9"/>
      <c r="Y741" s="9"/>
      <c r="Z741" s="9"/>
      <c r="AA741" s="9"/>
      <c r="AB741" s="21"/>
    </row>
    <row r="742" spans="1:28" x14ac:dyDescent="0.2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9"/>
      <c r="Y742" s="9"/>
      <c r="Z742" s="9"/>
      <c r="AA742" s="9"/>
      <c r="AB742" s="21"/>
    </row>
    <row r="743" spans="1:28" x14ac:dyDescent="0.2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9"/>
      <c r="Y743" s="9"/>
      <c r="Z743" s="9"/>
      <c r="AA743" s="9"/>
      <c r="AB743" s="21"/>
    </row>
    <row r="744" spans="1:28" x14ac:dyDescent="0.2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9"/>
      <c r="Y744" s="9"/>
      <c r="Z744" s="9"/>
      <c r="AA744" s="9"/>
      <c r="AB744" s="21"/>
    </row>
    <row r="745" spans="1:28" x14ac:dyDescent="0.2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9"/>
      <c r="Y745" s="9"/>
      <c r="Z745" s="9"/>
      <c r="AA745" s="9"/>
      <c r="AB745" s="21"/>
    </row>
    <row r="746" spans="1:28" x14ac:dyDescent="0.2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9"/>
      <c r="Y746" s="9"/>
      <c r="Z746" s="9"/>
      <c r="AA746" s="9"/>
      <c r="AB746" s="21"/>
    </row>
    <row r="747" spans="1:28" x14ac:dyDescent="0.2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9"/>
      <c r="Y747" s="9"/>
      <c r="Z747" s="9"/>
      <c r="AA747" s="9"/>
      <c r="AB747" s="21"/>
    </row>
    <row r="748" spans="1:28" x14ac:dyDescent="0.2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9"/>
      <c r="Y748" s="9"/>
      <c r="Z748" s="9"/>
      <c r="AA748" s="9"/>
      <c r="AB748" s="21"/>
    </row>
    <row r="749" spans="1:28" x14ac:dyDescent="0.2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9"/>
      <c r="Y749" s="9"/>
      <c r="Z749" s="9"/>
      <c r="AA749" s="9"/>
      <c r="AB749" s="21"/>
    </row>
    <row r="750" spans="1:28" x14ac:dyDescent="0.2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9"/>
      <c r="Y750" s="9"/>
      <c r="Z750" s="9"/>
      <c r="AA750" s="9"/>
      <c r="AB750" s="21"/>
    </row>
    <row r="751" spans="1:28" x14ac:dyDescent="0.2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9"/>
      <c r="Y751" s="9"/>
      <c r="Z751" s="9"/>
      <c r="AA751" s="9"/>
      <c r="AB751" s="21"/>
    </row>
    <row r="752" spans="1:28" x14ac:dyDescent="0.2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9"/>
      <c r="Y752" s="9"/>
      <c r="Z752" s="9"/>
      <c r="AA752" s="9"/>
      <c r="AB752" s="21"/>
    </row>
    <row r="753" spans="1:28" x14ac:dyDescent="0.2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9"/>
      <c r="Y753" s="9"/>
      <c r="Z753" s="9"/>
      <c r="AA753" s="9"/>
      <c r="AB753" s="21"/>
    </row>
    <row r="754" spans="1:28" x14ac:dyDescent="0.2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9"/>
      <c r="Y754" s="9"/>
      <c r="Z754" s="9"/>
      <c r="AA754" s="9"/>
      <c r="AB754" s="21"/>
    </row>
    <row r="755" spans="1:28" x14ac:dyDescent="0.2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9"/>
      <c r="Y755" s="9"/>
      <c r="Z755" s="9"/>
      <c r="AA755" s="9"/>
      <c r="AB755" s="21"/>
    </row>
    <row r="756" spans="1:28" x14ac:dyDescent="0.2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9"/>
      <c r="Y756" s="9"/>
      <c r="Z756" s="9"/>
      <c r="AA756" s="9"/>
      <c r="AB756" s="21"/>
    </row>
    <row r="757" spans="1:28" x14ac:dyDescent="0.2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9"/>
      <c r="Y757" s="9"/>
      <c r="Z757" s="9"/>
      <c r="AA757" s="9"/>
      <c r="AB757" s="21"/>
    </row>
    <row r="758" spans="1:28" x14ac:dyDescent="0.2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9"/>
      <c r="Y758" s="9"/>
      <c r="Z758" s="9"/>
      <c r="AA758" s="9"/>
      <c r="AB758" s="21"/>
    </row>
    <row r="759" spans="1:28" x14ac:dyDescent="0.2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9"/>
      <c r="Y759" s="9"/>
      <c r="Z759" s="9"/>
      <c r="AA759" s="9"/>
      <c r="AB759" s="21"/>
    </row>
    <row r="760" spans="1:28" x14ac:dyDescent="0.2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9"/>
      <c r="Y760" s="9"/>
      <c r="Z760" s="9"/>
      <c r="AA760" s="9"/>
      <c r="AB760" s="21"/>
    </row>
    <row r="761" spans="1:28" x14ac:dyDescent="0.2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9"/>
      <c r="Y761" s="9"/>
      <c r="Z761" s="9"/>
      <c r="AA761" s="9"/>
      <c r="AB761" s="21"/>
    </row>
    <row r="762" spans="1:28" x14ac:dyDescent="0.2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9"/>
      <c r="Y762" s="9"/>
      <c r="Z762" s="9"/>
      <c r="AA762" s="9"/>
      <c r="AB762" s="21"/>
    </row>
    <row r="763" spans="1:28" x14ac:dyDescent="0.2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9"/>
      <c r="Y763" s="9"/>
      <c r="Z763" s="9"/>
      <c r="AA763" s="9"/>
      <c r="AB763" s="21"/>
    </row>
    <row r="764" spans="1:28" x14ac:dyDescent="0.2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9"/>
      <c r="Y764" s="9"/>
      <c r="Z764" s="9"/>
      <c r="AA764" s="9"/>
      <c r="AB764" s="21"/>
    </row>
    <row r="765" spans="1:28" x14ac:dyDescent="0.2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9"/>
      <c r="Y765" s="9"/>
      <c r="Z765" s="9"/>
      <c r="AA765" s="9"/>
      <c r="AB765" s="21"/>
    </row>
    <row r="766" spans="1:28" x14ac:dyDescent="0.2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9"/>
      <c r="Y766" s="9"/>
      <c r="Z766" s="9"/>
      <c r="AA766" s="9"/>
      <c r="AB766" s="21"/>
    </row>
    <row r="767" spans="1:28" x14ac:dyDescent="0.2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9"/>
      <c r="Y767" s="9"/>
      <c r="Z767" s="9"/>
      <c r="AA767" s="9"/>
      <c r="AB767" s="21"/>
    </row>
    <row r="768" spans="1:28" x14ac:dyDescent="0.2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9"/>
      <c r="Y768" s="9"/>
      <c r="Z768" s="9"/>
      <c r="AA768" s="9"/>
      <c r="AB768" s="21"/>
    </row>
    <row r="769" spans="1:28" x14ac:dyDescent="0.2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9"/>
      <c r="Y769" s="9"/>
      <c r="Z769" s="9"/>
      <c r="AA769" s="9"/>
      <c r="AB769" s="21"/>
    </row>
    <row r="770" spans="1:28" x14ac:dyDescent="0.2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9"/>
      <c r="Y770" s="9"/>
      <c r="Z770" s="9"/>
      <c r="AA770" s="9"/>
      <c r="AB770" s="21"/>
    </row>
    <row r="771" spans="1:28" x14ac:dyDescent="0.2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9"/>
      <c r="Y771" s="9"/>
      <c r="Z771" s="9"/>
      <c r="AA771" s="9"/>
      <c r="AB771" s="21"/>
    </row>
    <row r="772" spans="1:28" x14ac:dyDescent="0.2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9"/>
      <c r="Y772" s="9"/>
      <c r="Z772" s="9"/>
      <c r="AA772" s="9"/>
      <c r="AB772" s="21"/>
    </row>
    <row r="773" spans="1:28" x14ac:dyDescent="0.2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9"/>
      <c r="Y773" s="9"/>
      <c r="Z773" s="9"/>
      <c r="AA773" s="9"/>
      <c r="AB773" s="21"/>
    </row>
    <row r="774" spans="1:28" x14ac:dyDescent="0.2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9"/>
      <c r="Y774" s="9"/>
      <c r="Z774" s="9"/>
      <c r="AA774" s="9"/>
      <c r="AB774" s="21"/>
    </row>
    <row r="775" spans="1:28" x14ac:dyDescent="0.2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9"/>
      <c r="Y775" s="9"/>
      <c r="Z775" s="9"/>
      <c r="AA775" s="9"/>
      <c r="AB775" s="21"/>
    </row>
    <row r="776" spans="1:28" x14ac:dyDescent="0.2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9"/>
      <c r="Y776" s="9"/>
      <c r="Z776" s="9"/>
      <c r="AA776" s="9"/>
      <c r="AB776" s="21"/>
    </row>
    <row r="777" spans="1:28" x14ac:dyDescent="0.2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9"/>
      <c r="Y777" s="9"/>
      <c r="Z777" s="9"/>
      <c r="AA777" s="9"/>
      <c r="AB777" s="21"/>
    </row>
    <row r="778" spans="1:28" x14ac:dyDescent="0.2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9"/>
      <c r="Y778" s="9"/>
      <c r="Z778" s="9"/>
      <c r="AA778" s="9"/>
      <c r="AB778" s="21"/>
    </row>
    <row r="779" spans="1:28" x14ac:dyDescent="0.2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9"/>
      <c r="Y779" s="9"/>
      <c r="Z779" s="9"/>
      <c r="AA779" s="9"/>
      <c r="AB779" s="21"/>
    </row>
    <row r="780" spans="1:28" x14ac:dyDescent="0.2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9"/>
      <c r="Y780" s="9"/>
      <c r="Z780" s="9"/>
      <c r="AA780" s="9"/>
      <c r="AB780" s="21"/>
    </row>
    <row r="781" spans="1:28" x14ac:dyDescent="0.2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9"/>
      <c r="Y781" s="9"/>
      <c r="Z781" s="9"/>
      <c r="AA781" s="9"/>
      <c r="AB781" s="21"/>
    </row>
    <row r="782" spans="1:28" x14ac:dyDescent="0.2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9"/>
      <c r="Y782" s="9"/>
      <c r="Z782" s="9"/>
      <c r="AA782" s="9"/>
      <c r="AB782" s="21"/>
    </row>
    <row r="783" spans="1:28" x14ac:dyDescent="0.2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9"/>
      <c r="Y783" s="9"/>
      <c r="Z783" s="9"/>
      <c r="AA783" s="9"/>
      <c r="AB783" s="21"/>
    </row>
    <row r="784" spans="1:28" x14ac:dyDescent="0.2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9"/>
      <c r="Y784" s="9"/>
      <c r="Z784" s="9"/>
      <c r="AA784" s="9"/>
      <c r="AB784" s="21"/>
    </row>
    <row r="785" spans="1:28" x14ac:dyDescent="0.2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9"/>
      <c r="Y785" s="9"/>
      <c r="Z785" s="9"/>
      <c r="AA785" s="9"/>
      <c r="AB785" s="21"/>
    </row>
    <row r="786" spans="1:28" x14ac:dyDescent="0.2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9"/>
      <c r="Y786" s="9"/>
      <c r="Z786" s="9"/>
      <c r="AA786" s="9"/>
      <c r="AB786" s="21"/>
    </row>
    <row r="787" spans="1:28" x14ac:dyDescent="0.2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9"/>
      <c r="Y787" s="9"/>
      <c r="Z787" s="9"/>
      <c r="AA787" s="9"/>
      <c r="AB787" s="21"/>
    </row>
    <row r="788" spans="1:28" x14ac:dyDescent="0.2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9"/>
      <c r="Y788" s="9"/>
      <c r="Z788" s="9"/>
      <c r="AA788" s="9"/>
      <c r="AB788" s="21"/>
    </row>
    <row r="789" spans="1:28" x14ac:dyDescent="0.2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9"/>
      <c r="Y789" s="9"/>
      <c r="Z789" s="9"/>
      <c r="AA789" s="9"/>
      <c r="AB789" s="21"/>
    </row>
    <row r="790" spans="1:28" x14ac:dyDescent="0.2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9"/>
      <c r="Y790" s="9"/>
      <c r="Z790" s="9"/>
      <c r="AA790" s="9"/>
      <c r="AB790" s="21"/>
    </row>
    <row r="791" spans="1:28" x14ac:dyDescent="0.2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9"/>
      <c r="Y791" s="9"/>
      <c r="Z791" s="9"/>
      <c r="AA791" s="9"/>
      <c r="AB791" s="21"/>
    </row>
    <row r="792" spans="1:28" x14ac:dyDescent="0.2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9"/>
      <c r="Y792" s="9"/>
      <c r="Z792" s="9"/>
      <c r="AA792" s="9"/>
      <c r="AB792" s="21"/>
    </row>
    <row r="793" spans="1:28" x14ac:dyDescent="0.2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9"/>
      <c r="Y793" s="9"/>
      <c r="Z793" s="9"/>
      <c r="AA793" s="9"/>
      <c r="AB793" s="21"/>
    </row>
    <row r="794" spans="1:28" x14ac:dyDescent="0.2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9"/>
      <c r="Y794" s="9"/>
      <c r="Z794" s="9"/>
      <c r="AA794" s="9"/>
      <c r="AB794" s="21"/>
    </row>
    <row r="795" spans="1:28" x14ac:dyDescent="0.2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9"/>
      <c r="Y795" s="9"/>
      <c r="Z795" s="9"/>
      <c r="AA795" s="9"/>
      <c r="AB795" s="21"/>
    </row>
    <row r="796" spans="1:28" x14ac:dyDescent="0.2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9"/>
      <c r="Y796" s="9"/>
      <c r="Z796" s="9"/>
      <c r="AA796" s="9"/>
      <c r="AB796" s="21"/>
    </row>
    <row r="797" spans="1:28" x14ac:dyDescent="0.2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9"/>
      <c r="Y797" s="9"/>
      <c r="Z797" s="9"/>
      <c r="AA797" s="9"/>
      <c r="AB797" s="21"/>
    </row>
    <row r="798" spans="1:28" x14ac:dyDescent="0.2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9"/>
      <c r="Y798" s="9"/>
      <c r="Z798" s="9"/>
      <c r="AA798" s="9"/>
      <c r="AB798" s="21"/>
    </row>
    <row r="799" spans="1:28" x14ac:dyDescent="0.2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9"/>
      <c r="Y799" s="9"/>
      <c r="Z799" s="9"/>
      <c r="AA799" s="9"/>
      <c r="AB799" s="21"/>
    </row>
    <row r="800" spans="1:28" x14ac:dyDescent="0.2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9"/>
      <c r="Y800" s="9"/>
      <c r="Z800" s="9"/>
      <c r="AA800" s="9"/>
      <c r="AB800" s="21"/>
    </row>
    <row r="801" spans="1:28" x14ac:dyDescent="0.2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9"/>
      <c r="Y801" s="9"/>
      <c r="Z801" s="9"/>
      <c r="AA801" s="9"/>
      <c r="AB801" s="21"/>
    </row>
    <row r="802" spans="1:28" x14ac:dyDescent="0.2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9"/>
      <c r="Y802" s="9"/>
      <c r="Z802" s="9"/>
      <c r="AA802" s="9"/>
      <c r="AB802" s="21"/>
    </row>
    <row r="803" spans="1:28" x14ac:dyDescent="0.2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9"/>
      <c r="Y803" s="9"/>
      <c r="Z803" s="9"/>
      <c r="AA803" s="9"/>
      <c r="AB803" s="21"/>
    </row>
    <row r="804" spans="1:28" x14ac:dyDescent="0.2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9"/>
      <c r="Y804" s="9"/>
      <c r="Z804" s="9"/>
      <c r="AA804" s="9"/>
      <c r="AB804" s="21"/>
    </row>
    <row r="805" spans="1:28" x14ac:dyDescent="0.2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9"/>
      <c r="Y805" s="9"/>
      <c r="Z805" s="9"/>
      <c r="AA805" s="9"/>
      <c r="AB805" s="21"/>
    </row>
    <row r="806" spans="1:28" x14ac:dyDescent="0.2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9"/>
      <c r="Y806" s="9"/>
      <c r="Z806" s="9"/>
      <c r="AA806" s="9"/>
      <c r="AB806" s="21"/>
    </row>
    <row r="807" spans="1:28" x14ac:dyDescent="0.2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9"/>
      <c r="Y807" s="9"/>
      <c r="Z807" s="9"/>
      <c r="AA807" s="9"/>
      <c r="AB807" s="21"/>
    </row>
    <row r="808" spans="1:28" x14ac:dyDescent="0.2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9"/>
      <c r="Y808" s="9"/>
      <c r="Z808" s="9"/>
      <c r="AA808" s="9"/>
      <c r="AB808" s="21"/>
    </row>
    <row r="809" spans="1:28" x14ac:dyDescent="0.2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9"/>
      <c r="Y809" s="9"/>
      <c r="Z809" s="9"/>
      <c r="AA809" s="9"/>
      <c r="AB809" s="21"/>
    </row>
    <row r="810" spans="1:28" x14ac:dyDescent="0.2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9"/>
      <c r="Y810" s="9"/>
      <c r="Z810" s="9"/>
      <c r="AA810" s="9"/>
      <c r="AB810" s="21"/>
    </row>
    <row r="811" spans="1:28" x14ac:dyDescent="0.2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9"/>
      <c r="Y811" s="9"/>
      <c r="Z811" s="9"/>
      <c r="AA811" s="9"/>
      <c r="AB811" s="21"/>
    </row>
    <row r="812" spans="1:28" x14ac:dyDescent="0.2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9"/>
      <c r="Y812" s="9"/>
      <c r="Z812" s="9"/>
      <c r="AA812" s="9"/>
      <c r="AB812" s="21"/>
    </row>
    <row r="813" spans="1:28" x14ac:dyDescent="0.2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9"/>
      <c r="Y813" s="9"/>
      <c r="Z813" s="9"/>
      <c r="AA813" s="9"/>
      <c r="AB813" s="21"/>
    </row>
    <row r="814" spans="1:28" x14ac:dyDescent="0.2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9"/>
      <c r="Y814" s="9"/>
      <c r="Z814" s="9"/>
      <c r="AA814" s="9"/>
      <c r="AB814" s="21"/>
    </row>
    <row r="815" spans="1:28" x14ac:dyDescent="0.2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9"/>
      <c r="Y815" s="9"/>
      <c r="Z815" s="9"/>
      <c r="AA815" s="9"/>
      <c r="AB815" s="21"/>
    </row>
    <row r="816" spans="1:28" x14ac:dyDescent="0.2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9"/>
      <c r="Y816" s="9"/>
      <c r="Z816" s="9"/>
      <c r="AA816" s="9"/>
      <c r="AB816" s="21"/>
    </row>
    <row r="817" spans="1:28" x14ac:dyDescent="0.2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9"/>
      <c r="Y817" s="9"/>
      <c r="Z817" s="9"/>
      <c r="AA817" s="9"/>
      <c r="AB817" s="21"/>
    </row>
    <row r="818" spans="1:28" x14ac:dyDescent="0.2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9"/>
      <c r="Y818" s="9"/>
      <c r="Z818" s="9"/>
      <c r="AA818" s="9"/>
      <c r="AB818" s="21"/>
    </row>
    <row r="819" spans="1:28" x14ac:dyDescent="0.2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9"/>
      <c r="Y819" s="9"/>
      <c r="Z819" s="9"/>
      <c r="AA819" s="9"/>
      <c r="AB819" s="21"/>
    </row>
    <row r="820" spans="1:28" x14ac:dyDescent="0.2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9"/>
      <c r="Y820" s="9"/>
      <c r="Z820" s="9"/>
      <c r="AA820" s="9"/>
      <c r="AB820" s="21"/>
    </row>
    <row r="821" spans="1:28" x14ac:dyDescent="0.2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9"/>
      <c r="Y821" s="9"/>
      <c r="Z821" s="9"/>
      <c r="AA821" s="9"/>
      <c r="AB821" s="21"/>
    </row>
    <row r="822" spans="1:28" x14ac:dyDescent="0.2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9"/>
      <c r="Y822" s="9"/>
      <c r="Z822" s="9"/>
      <c r="AA822" s="9"/>
      <c r="AB822" s="21"/>
    </row>
    <row r="823" spans="1:28" x14ac:dyDescent="0.2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9"/>
      <c r="Y823" s="9"/>
      <c r="Z823" s="9"/>
      <c r="AA823" s="9"/>
      <c r="AB823" s="21"/>
    </row>
    <row r="824" spans="1:28" x14ac:dyDescent="0.2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9"/>
      <c r="Y824" s="9"/>
      <c r="Z824" s="9"/>
      <c r="AA824" s="9"/>
      <c r="AB824" s="21"/>
    </row>
    <row r="825" spans="1:28" x14ac:dyDescent="0.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9"/>
      <c r="Y825" s="9"/>
      <c r="Z825" s="9"/>
      <c r="AA825" s="9"/>
      <c r="AB825" s="21"/>
    </row>
    <row r="826" spans="1:28" x14ac:dyDescent="0.2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9"/>
      <c r="Y826" s="9"/>
      <c r="Z826" s="9"/>
      <c r="AA826" s="9"/>
      <c r="AB826" s="21"/>
    </row>
    <row r="827" spans="1:28" x14ac:dyDescent="0.2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9"/>
      <c r="Y827" s="9"/>
      <c r="Z827" s="9"/>
      <c r="AA827" s="9"/>
      <c r="AB827" s="21"/>
    </row>
    <row r="828" spans="1:28" x14ac:dyDescent="0.2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9"/>
      <c r="Y828" s="9"/>
      <c r="Z828" s="9"/>
      <c r="AA828" s="9"/>
      <c r="AB828" s="21"/>
    </row>
    <row r="829" spans="1:28" x14ac:dyDescent="0.2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9"/>
      <c r="Y829" s="9"/>
      <c r="Z829" s="9"/>
      <c r="AA829" s="9"/>
      <c r="AB829" s="21"/>
    </row>
    <row r="830" spans="1:28" x14ac:dyDescent="0.2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9"/>
      <c r="Y830" s="9"/>
      <c r="Z830" s="9"/>
      <c r="AA830" s="9"/>
      <c r="AB830" s="21"/>
    </row>
    <row r="831" spans="1:28" x14ac:dyDescent="0.2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9"/>
      <c r="Y831" s="9"/>
      <c r="Z831" s="9"/>
      <c r="AA831" s="9"/>
      <c r="AB831" s="21"/>
    </row>
    <row r="832" spans="1:28" x14ac:dyDescent="0.2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9"/>
      <c r="Y832" s="9"/>
      <c r="Z832" s="9"/>
      <c r="AA832" s="9"/>
      <c r="AB832" s="21"/>
    </row>
    <row r="833" spans="1:28" x14ac:dyDescent="0.2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9"/>
      <c r="Y833" s="9"/>
      <c r="Z833" s="9"/>
      <c r="AA833" s="9"/>
      <c r="AB833" s="21"/>
    </row>
    <row r="834" spans="1:28" x14ac:dyDescent="0.2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9"/>
      <c r="Y834" s="9"/>
      <c r="Z834" s="9"/>
      <c r="AA834" s="9"/>
      <c r="AB834" s="21"/>
    </row>
    <row r="835" spans="1:28" x14ac:dyDescent="0.2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9"/>
      <c r="Y835" s="9"/>
      <c r="Z835" s="9"/>
      <c r="AA835" s="9"/>
      <c r="AB835" s="21"/>
    </row>
    <row r="836" spans="1:28" x14ac:dyDescent="0.2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9"/>
      <c r="Y836" s="9"/>
      <c r="Z836" s="9"/>
      <c r="AA836" s="9"/>
      <c r="AB836" s="21"/>
    </row>
    <row r="837" spans="1:28" x14ac:dyDescent="0.2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9"/>
      <c r="Y837" s="9"/>
      <c r="Z837" s="9"/>
      <c r="AA837" s="9"/>
      <c r="AB837" s="21"/>
    </row>
    <row r="838" spans="1:28" x14ac:dyDescent="0.2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9"/>
      <c r="Y838" s="9"/>
      <c r="Z838" s="9"/>
      <c r="AA838" s="9"/>
      <c r="AB838" s="21"/>
    </row>
    <row r="839" spans="1:28" x14ac:dyDescent="0.2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9"/>
      <c r="Y839" s="9"/>
      <c r="Z839" s="9"/>
      <c r="AA839" s="9"/>
      <c r="AB839" s="21"/>
    </row>
    <row r="840" spans="1:28" x14ac:dyDescent="0.2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9"/>
      <c r="Y840" s="9"/>
      <c r="Z840" s="9"/>
      <c r="AA840" s="9"/>
      <c r="AB840" s="21"/>
    </row>
    <row r="841" spans="1:28" x14ac:dyDescent="0.2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9"/>
      <c r="Y841" s="9"/>
      <c r="Z841" s="9"/>
      <c r="AA841" s="9"/>
      <c r="AB841" s="21"/>
    </row>
    <row r="842" spans="1:28" x14ac:dyDescent="0.2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9"/>
      <c r="Y842" s="9"/>
      <c r="Z842" s="9"/>
      <c r="AA842" s="9"/>
      <c r="AB842" s="21"/>
    </row>
    <row r="843" spans="1:28" x14ac:dyDescent="0.2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9"/>
      <c r="Y843" s="9"/>
      <c r="Z843" s="9"/>
      <c r="AA843" s="9"/>
      <c r="AB843" s="21"/>
    </row>
    <row r="844" spans="1:28" x14ac:dyDescent="0.2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9"/>
      <c r="Y844" s="9"/>
      <c r="Z844" s="9"/>
      <c r="AA844" s="9"/>
      <c r="AB844" s="21"/>
    </row>
    <row r="845" spans="1:28" x14ac:dyDescent="0.2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9"/>
      <c r="Y845" s="9"/>
      <c r="Z845" s="9"/>
      <c r="AA845" s="9"/>
      <c r="AB845" s="21"/>
    </row>
    <row r="846" spans="1:28" x14ac:dyDescent="0.2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9"/>
      <c r="Y846" s="9"/>
      <c r="Z846" s="9"/>
      <c r="AA846" s="9"/>
      <c r="AB846" s="21"/>
    </row>
    <row r="847" spans="1:28" x14ac:dyDescent="0.2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9"/>
      <c r="Y847" s="9"/>
      <c r="Z847" s="9"/>
      <c r="AA847" s="9"/>
      <c r="AB847" s="21"/>
    </row>
    <row r="848" spans="1:28" x14ac:dyDescent="0.2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9"/>
      <c r="Y848" s="9"/>
      <c r="Z848" s="9"/>
      <c r="AA848" s="9"/>
      <c r="AB848" s="21"/>
    </row>
    <row r="849" spans="1:28" x14ac:dyDescent="0.2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9"/>
      <c r="Y849" s="9"/>
      <c r="Z849" s="9"/>
      <c r="AA849" s="9"/>
      <c r="AB849" s="21"/>
    </row>
    <row r="850" spans="1:28" x14ac:dyDescent="0.2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9"/>
      <c r="Y850" s="9"/>
      <c r="Z850" s="9"/>
      <c r="AA850" s="9"/>
      <c r="AB850" s="21"/>
    </row>
    <row r="851" spans="1:28" x14ac:dyDescent="0.2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9"/>
      <c r="Y851" s="9"/>
      <c r="Z851" s="9"/>
      <c r="AA851" s="9"/>
      <c r="AB851" s="21"/>
    </row>
    <row r="852" spans="1:28" x14ac:dyDescent="0.2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9"/>
      <c r="Y852" s="9"/>
      <c r="Z852" s="9"/>
      <c r="AA852" s="9"/>
      <c r="AB852" s="21"/>
    </row>
    <row r="853" spans="1:28" x14ac:dyDescent="0.2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9"/>
      <c r="Y853" s="9"/>
      <c r="Z853" s="9"/>
      <c r="AA853" s="9"/>
      <c r="AB853" s="21"/>
    </row>
    <row r="854" spans="1:28" x14ac:dyDescent="0.2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9"/>
      <c r="Y854" s="9"/>
      <c r="Z854" s="9"/>
      <c r="AA854" s="9"/>
      <c r="AB854" s="21"/>
    </row>
    <row r="855" spans="1:28" x14ac:dyDescent="0.2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9"/>
      <c r="Y855" s="9"/>
      <c r="Z855" s="9"/>
      <c r="AA855" s="9"/>
      <c r="AB855" s="21"/>
    </row>
    <row r="856" spans="1:28" x14ac:dyDescent="0.2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9"/>
      <c r="Y856" s="9"/>
      <c r="Z856" s="9"/>
      <c r="AA856" s="9"/>
      <c r="AB856" s="21"/>
    </row>
    <row r="857" spans="1:28" x14ac:dyDescent="0.2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9"/>
      <c r="Y857" s="9"/>
      <c r="Z857" s="9"/>
      <c r="AA857" s="9"/>
      <c r="AB857" s="21"/>
    </row>
    <row r="858" spans="1:28" x14ac:dyDescent="0.2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9"/>
      <c r="Y858" s="9"/>
      <c r="Z858" s="9"/>
      <c r="AA858" s="9"/>
      <c r="AB858" s="21"/>
    </row>
    <row r="859" spans="1:28" x14ac:dyDescent="0.2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9"/>
      <c r="Y859" s="9"/>
      <c r="Z859" s="9"/>
      <c r="AA859" s="9"/>
      <c r="AB859" s="21"/>
    </row>
    <row r="860" spans="1:28" x14ac:dyDescent="0.2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9"/>
      <c r="Y860" s="9"/>
      <c r="Z860" s="9"/>
      <c r="AA860" s="9"/>
      <c r="AB860" s="21"/>
    </row>
    <row r="861" spans="1:28" x14ac:dyDescent="0.2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9"/>
      <c r="Y861" s="9"/>
      <c r="Z861" s="9"/>
      <c r="AA861" s="9"/>
      <c r="AB861" s="21"/>
    </row>
    <row r="862" spans="1:28" x14ac:dyDescent="0.2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9"/>
      <c r="Y862" s="9"/>
      <c r="Z862" s="9"/>
      <c r="AA862" s="9"/>
      <c r="AB862" s="21"/>
    </row>
    <row r="863" spans="1:28" x14ac:dyDescent="0.2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9"/>
      <c r="Y863" s="9"/>
      <c r="Z863" s="9"/>
      <c r="AA863" s="9"/>
      <c r="AB863" s="21"/>
    </row>
    <row r="864" spans="1:28" x14ac:dyDescent="0.2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9"/>
      <c r="Y864" s="9"/>
      <c r="Z864" s="9"/>
      <c r="AA864" s="9"/>
      <c r="AB864" s="21"/>
    </row>
    <row r="865" spans="1:28" x14ac:dyDescent="0.2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9"/>
      <c r="Y865" s="9"/>
      <c r="Z865" s="9"/>
      <c r="AA865" s="9"/>
      <c r="AB865" s="21"/>
    </row>
    <row r="866" spans="1:28" x14ac:dyDescent="0.2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9"/>
      <c r="Y866" s="9"/>
      <c r="Z866" s="9"/>
      <c r="AA866" s="9"/>
      <c r="AB866" s="21"/>
    </row>
    <row r="867" spans="1:28" x14ac:dyDescent="0.2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9"/>
      <c r="Y867" s="9"/>
      <c r="Z867" s="9"/>
      <c r="AA867" s="9"/>
      <c r="AB867" s="21"/>
    </row>
    <row r="868" spans="1:28" x14ac:dyDescent="0.2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9"/>
      <c r="Y868" s="9"/>
      <c r="Z868" s="9"/>
      <c r="AA868" s="9"/>
      <c r="AB868" s="21"/>
    </row>
    <row r="869" spans="1:28" x14ac:dyDescent="0.2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9"/>
      <c r="Y869" s="9"/>
      <c r="Z869" s="9"/>
      <c r="AA869" s="9"/>
      <c r="AB869" s="21"/>
    </row>
    <row r="870" spans="1:28" x14ac:dyDescent="0.2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9"/>
      <c r="Y870" s="9"/>
      <c r="Z870" s="9"/>
      <c r="AA870" s="9"/>
      <c r="AB870" s="21"/>
    </row>
    <row r="871" spans="1:28" x14ac:dyDescent="0.2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9"/>
      <c r="Y871" s="9"/>
      <c r="Z871" s="9"/>
      <c r="AA871" s="9"/>
      <c r="AB871" s="21"/>
    </row>
    <row r="872" spans="1:28" x14ac:dyDescent="0.2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9"/>
      <c r="Y872" s="9"/>
      <c r="Z872" s="9"/>
      <c r="AA872" s="9"/>
      <c r="AB872" s="21"/>
    </row>
    <row r="873" spans="1:28" x14ac:dyDescent="0.2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9"/>
      <c r="Y873" s="9"/>
      <c r="Z873" s="9"/>
      <c r="AA873" s="9"/>
      <c r="AB873" s="21"/>
    </row>
    <row r="874" spans="1:28" x14ac:dyDescent="0.2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9"/>
      <c r="Y874" s="9"/>
      <c r="Z874" s="9"/>
      <c r="AA874" s="9"/>
      <c r="AB874" s="21"/>
    </row>
    <row r="875" spans="1:28" x14ac:dyDescent="0.2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9"/>
      <c r="Y875" s="9"/>
      <c r="Z875" s="9"/>
      <c r="AA875" s="9"/>
      <c r="AB875" s="21"/>
    </row>
    <row r="876" spans="1:28" x14ac:dyDescent="0.2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9"/>
      <c r="Y876" s="9"/>
      <c r="Z876" s="9"/>
      <c r="AA876" s="9"/>
      <c r="AB876" s="21"/>
    </row>
    <row r="877" spans="1:28" x14ac:dyDescent="0.2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9"/>
      <c r="Y877" s="9"/>
      <c r="Z877" s="9"/>
      <c r="AA877" s="9"/>
      <c r="AB877" s="21"/>
    </row>
    <row r="878" spans="1:28" x14ac:dyDescent="0.2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9"/>
      <c r="Y878" s="9"/>
      <c r="Z878" s="9"/>
      <c r="AA878" s="9"/>
      <c r="AB878" s="21"/>
    </row>
    <row r="879" spans="1:28" x14ac:dyDescent="0.2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9"/>
      <c r="Y879" s="9"/>
      <c r="Z879" s="9"/>
      <c r="AA879" s="9"/>
      <c r="AB879" s="21"/>
    </row>
    <row r="880" spans="1:28" x14ac:dyDescent="0.2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9"/>
      <c r="Y880" s="9"/>
      <c r="Z880" s="9"/>
      <c r="AA880" s="9"/>
      <c r="AB880" s="21"/>
    </row>
    <row r="881" spans="1:28" x14ac:dyDescent="0.2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9"/>
      <c r="Y881" s="9"/>
      <c r="Z881" s="9"/>
      <c r="AA881" s="9"/>
      <c r="AB881" s="21"/>
    </row>
    <row r="882" spans="1:28" x14ac:dyDescent="0.2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9"/>
      <c r="Y882" s="9"/>
      <c r="Z882" s="9"/>
      <c r="AA882" s="9"/>
      <c r="AB882" s="21"/>
    </row>
    <row r="883" spans="1:28" x14ac:dyDescent="0.2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9"/>
      <c r="Y883" s="9"/>
      <c r="Z883" s="9"/>
      <c r="AA883" s="9"/>
      <c r="AB883" s="21"/>
    </row>
    <row r="884" spans="1:28" x14ac:dyDescent="0.2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9"/>
      <c r="Y884" s="9"/>
      <c r="Z884" s="9"/>
      <c r="AA884" s="9"/>
      <c r="AB884" s="21"/>
    </row>
    <row r="885" spans="1:28" x14ac:dyDescent="0.2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9"/>
      <c r="Y885" s="9"/>
      <c r="Z885" s="9"/>
      <c r="AA885" s="9"/>
      <c r="AB885" s="21"/>
    </row>
    <row r="886" spans="1:28" x14ac:dyDescent="0.2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9"/>
      <c r="Y886" s="9"/>
      <c r="Z886" s="9"/>
      <c r="AA886" s="9"/>
      <c r="AB886" s="21"/>
    </row>
    <row r="887" spans="1:28" x14ac:dyDescent="0.2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9"/>
      <c r="Y887" s="9"/>
      <c r="Z887" s="9"/>
      <c r="AA887" s="9"/>
      <c r="AB887" s="21"/>
    </row>
    <row r="888" spans="1:28" x14ac:dyDescent="0.2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9"/>
      <c r="Y888" s="9"/>
      <c r="Z888" s="9"/>
      <c r="AA888" s="9"/>
      <c r="AB888" s="21"/>
    </row>
    <row r="889" spans="1:28" x14ac:dyDescent="0.2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9"/>
      <c r="Y889" s="9"/>
      <c r="Z889" s="9"/>
      <c r="AA889" s="9"/>
      <c r="AB889" s="21"/>
    </row>
    <row r="890" spans="1:28" x14ac:dyDescent="0.2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9"/>
      <c r="Y890" s="9"/>
      <c r="Z890" s="9"/>
      <c r="AA890" s="9"/>
      <c r="AB890" s="21"/>
    </row>
    <row r="891" spans="1:28" x14ac:dyDescent="0.2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9"/>
      <c r="Y891" s="9"/>
      <c r="Z891" s="9"/>
      <c r="AA891" s="9"/>
      <c r="AB891" s="21"/>
    </row>
    <row r="892" spans="1:28" x14ac:dyDescent="0.2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9"/>
      <c r="Y892" s="9"/>
      <c r="Z892" s="9"/>
      <c r="AA892" s="9"/>
      <c r="AB892" s="21"/>
    </row>
    <row r="893" spans="1:28" x14ac:dyDescent="0.2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9"/>
      <c r="Y893" s="9"/>
      <c r="Z893" s="9"/>
      <c r="AA893" s="9"/>
      <c r="AB893" s="21"/>
    </row>
    <row r="894" spans="1:28" x14ac:dyDescent="0.2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9"/>
      <c r="Y894" s="9"/>
      <c r="Z894" s="9"/>
      <c r="AA894" s="9"/>
      <c r="AB894" s="21"/>
    </row>
    <row r="895" spans="1:28" x14ac:dyDescent="0.2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9"/>
      <c r="Y895" s="9"/>
      <c r="Z895" s="9"/>
      <c r="AA895" s="9"/>
      <c r="AB895" s="21"/>
    </row>
    <row r="896" spans="1:28" x14ac:dyDescent="0.2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9"/>
      <c r="Y896" s="9"/>
      <c r="Z896" s="9"/>
      <c r="AA896" s="9"/>
      <c r="AB896" s="21"/>
    </row>
    <row r="897" spans="1:28" x14ac:dyDescent="0.2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9"/>
      <c r="Y897" s="9"/>
      <c r="Z897" s="9"/>
      <c r="AA897" s="9"/>
      <c r="AB897" s="21"/>
    </row>
    <row r="898" spans="1:28" x14ac:dyDescent="0.2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9"/>
      <c r="Y898" s="9"/>
      <c r="Z898" s="9"/>
      <c r="AA898" s="9"/>
      <c r="AB898" s="21"/>
    </row>
    <row r="899" spans="1:28" x14ac:dyDescent="0.2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9"/>
      <c r="Y899" s="9"/>
      <c r="Z899" s="9"/>
      <c r="AA899" s="9"/>
      <c r="AB899" s="21"/>
    </row>
    <row r="900" spans="1:28" x14ac:dyDescent="0.2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9"/>
      <c r="Y900" s="9"/>
      <c r="Z900" s="9"/>
      <c r="AA900" s="9"/>
      <c r="AB900" s="21"/>
    </row>
    <row r="901" spans="1:28" x14ac:dyDescent="0.2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9"/>
      <c r="Y901" s="9"/>
      <c r="Z901" s="9"/>
      <c r="AA901" s="9"/>
      <c r="AB901" s="21"/>
    </row>
    <row r="902" spans="1:28" x14ac:dyDescent="0.2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9"/>
      <c r="Y902" s="9"/>
      <c r="Z902" s="9"/>
      <c r="AA902" s="9"/>
      <c r="AB902" s="21"/>
    </row>
    <row r="903" spans="1:28" x14ac:dyDescent="0.2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9"/>
      <c r="Y903" s="9"/>
      <c r="Z903" s="9"/>
      <c r="AA903" s="9"/>
      <c r="AB903" s="21"/>
    </row>
    <row r="904" spans="1:28" x14ac:dyDescent="0.2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9"/>
      <c r="Y904" s="9"/>
      <c r="Z904" s="9"/>
      <c r="AA904" s="9"/>
      <c r="AB904" s="21"/>
    </row>
    <row r="905" spans="1:28" x14ac:dyDescent="0.2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9"/>
      <c r="Y905" s="9"/>
      <c r="Z905" s="9"/>
      <c r="AA905" s="9"/>
      <c r="AB905" s="21"/>
    </row>
    <row r="906" spans="1:28" x14ac:dyDescent="0.2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9"/>
      <c r="Y906" s="9"/>
      <c r="Z906" s="9"/>
      <c r="AA906" s="9"/>
      <c r="AB906" s="21"/>
    </row>
    <row r="907" spans="1:28" x14ac:dyDescent="0.2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9"/>
      <c r="Y907" s="9"/>
      <c r="Z907" s="9"/>
      <c r="AA907" s="9"/>
      <c r="AB907" s="21"/>
    </row>
    <row r="908" spans="1:28" x14ac:dyDescent="0.2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9"/>
      <c r="Y908" s="9"/>
      <c r="Z908" s="9"/>
      <c r="AA908" s="9"/>
      <c r="AB908" s="21"/>
    </row>
    <row r="909" spans="1:28" x14ac:dyDescent="0.2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9"/>
      <c r="Y909" s="9"/>
      <c r="Z909" s="9"/>
      <c r="AA909" s="9"/>
      <c r="AB909" s="21"/>
    </row>
    <row r="910" spans="1:28" x14ac:dyDescent="0.2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9"/>
      <c r="Y910" s="9"/>
      <c r="Z910" s="9"/>
      <c r="AA910" s="9"/>
      <c r="AB910" s="21"/>
    </row>
    <row r="911" spans="1:28" x14ac:dyDescent="0.2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9"/>
      <c r="Y911" s="9"/>
      <c r="Z911" s="9"/>
      <c r="AA911" s="9"/>
      <c r="AB911" s="21"/>
    </row>
    <row r="912" spans="1:28" x14ac:dyDescent="0.2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9"/>
      <c r="Y912" s="9"/>
      <c r="Z912" s="9"/>
      <c r="AA912" s="9"/>
      <c r="AB912" s="21"/>
    </row>
    <row r="913" spans="1:28" x14ac:dyDescent="0.2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9"/>
      <c r="Y913" s="9"/>
      <c r="Z913" s="9"/>
      <c r="AA913" s="9"/>
      <c r="AB913" s="21"/>
    </row>
    <row r="914" spans="1:28" x14ac:dyDescent="0.2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9"/>
      <c r="Y914" s="9"/>
      <c r="Z914" s="9"/>
      <c r="AA914" s="9"/>
      <c r="AB914" s="21"/>
    </row>
    <row r="915" spans="1:28" x14ac:dyDescent="0.2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9"/>
      <c r="Y915" s="9"/>
      <c r="Z915" s="9"/>
      <c r="AA915" s="9"/>
      <c r="AB915" s="21"/>
    </row>
    <row r="916" spans="1:28" x14ac:dyDescent="0.2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9"/>
      <c r="Y916" s="9"/>
      <c r="Z916" s="9"/>
      <c r="AA916" s="9"/>
      <c r="AB916" s="21"/>
    </row>
    <row r="917" spans="1:28" x14ac:dyDescent="0.2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9"/>
      <c r="Y917" s="9"/>
      <c r="Z917" s="9"/>
      <c r="AA917" s="9"/>
      <c r="AB917" s="21"/>
    </row>
    <row r="918" spans="1:28" x14ac:dyDescent="0.2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9"/>
      <c r="Y918" s="9"/>
      <c r="Z918" s="9"/>
      <c r="AA918" s="9"/>
      <c r="AB918" s="21"/>
    </row>
    <row r="919" spans="1:28" x14ac:dyDescent="0.2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9"/>
      <c r="Y919" s="9"/>
      <c r="Z919" s="9"/>
      <c r="AA919" s="9"/>
      <c r="AB919" s="21"/>
    </row>
    <row r="920" spans="1:28" x14ac:dyDescent="0.2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9"/>
      <c r="Y920" s="9"/>
      <c r="Z920" s="9"/>
      <c r="AA920" s="9"/>
      <c r="AB920" s="21"/>
    </row>
    <row r="921" spans="1:28" x14ac:dyDescent="0.2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9"/>
      <c r="Y921" s="9"/>
      <c r="Z921" s="9"/>
      <c r="AA921" s="9"/>
      <c r="AB921" s="21"/>
    </row>
    <row r="922" spans="1:28" x14ac:dyDescent="0.2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9"/>
      <c r="Y922" s="9"/>
      <c r="Z922" s="9"/>
      <c r="AA922" s="9"/>
      <c r="AB922" s="21"/>
    </row>
    <row r="923" spans="1:28" x14ac:dyDescent="0.2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9"/>
      <c r="Y923" s="9"/>
      <c r="Z923" s="9"/>
      <c r="AA923" s="9"/>
      <c r="AB923" s="21"/>
    </row>
    <row r="924" spans="1:28" x14ac:dyDescent="0.2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9"/>
      <c r="Y924" s="9"/>
      <c r="Z924" s="9"/>
      <c r="AA924" s="9"/>
      <c r="AB924" s="21"/>
    </row>
    <row r="925" spans="1:28" x14ac:dyDescent="0.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9"/>
      <c r="Y925" s="9"/>
      <c r="Z925" s="9"/>
      <c r="AA925" s="9"/>
      <c r="AB925" s="21"/>
    </row>
    <row r="926" spans="1:28" x14ac:dyDescent="0.2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9"/>
      <c r="Y926" s="9"/>
      <c r="Z926" s="9"/>
      <c r="AA926" s="9"/>
      <c r="AB926" s="21"/>
    </row>
    <row r="927" spans="1:28" x14ac:dyDescent="0.2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9"/>
      <c r="Y927" s="9"/>
      <c r="Z927" s="9"/>
      <c r="AA927" s="9"/>
      <c r="AB927" s="21"/>
    </row>
    <row r="928" spans="1:28" x14ac:dyDescent="0.2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9"/>
      <c r="Y928" s="9"/>
      <c r="Z928" s="9"/>
      <c r="AA928" s="9"/>
      <c r="AB928" s="21"/>
    </row>
    <row r="929" spans="1:28" x14ac:dyDescent="0.2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9"/>
      <c r="Y929" s="9"/>
      <c r="Z929" s="9"/>
      <c r="AA929" s="9"/>
      <c r="AB929" s="21"/>
    </row>
    <row r="930" spans="1:28" x14ac:dyDescent="0.2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9"/>
      <c r="Y930" s="9"/>
      <c r="Z930" s="9"/>
      <c r="AA930" s="9"/>
      <c r="AB930" s="21"/>
    </row>
    <row r="931" spans="1:28" x14ac:dyDescent="0.2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9"/>
      <c r="Y931" s="9"/>
      <c r="Z931" s="9"/>
      <c r="AA931" s="9"/>
      <c r="AB931" s="21"/>
    </row>
    <row r="932" spans="1:28" x14ac:dyDescent="0.2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9"/>
      <c r="Y932" s="9"/>
      <c r="Z932" s="9"/>
      <c r="AA932" s="9"/>
      <c r="AB932" s="21"/>
    </row>
    <row r="933" spans="1:28" x14ac:dyDescent="0.2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9"/>
      <c r="Y933" s="9"/>
      <c r="Z933" s="9"/>
      <c r="AA933" s="9"/>
      <c r="AB933" s="21"/>
    </row>
    <row r="934" spans="1:28" x14ac:dyDescent="0.2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9"/>
      <c r="Y934" s="9"/>
      <c r="Z934" s="9"/>
      <c r="AA934" s="9"/>
      <c r="AB934" s="21"/>
    </row>
    <row r="935" spans="1:28" x14ac:dyDescent="0.2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9"/>
      <c r="Y935" s="9"/>
      <c r="Z935" s="9"/>
      <c r="AA935" s="9"/>
      <c r="AB935" s="21"/>
    </row>
    <row r="936" spans="1:28" x14ac:dyDescent="0.2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9"/>
      <c r="Y936" s="9"/>
      <c r="Z936" s="9"/>
      <c r="AA936" s="9"/>
      <c r="AB936" s="21"/>
    </row>
    <row r="937" spans="1:28" x14ac:dyDescent="0.2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9"/>
      <c r="Y937" s="9"/>
      <c r="Z937" s="9"/>
      <c r="AA937" s="9"/>
      <c r="AB937" s="21"/>
    </row>
    <row r="938" spans="1:28" x14ac:dyDescent="0.2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9"/>
      <c r="Y938" s="9"/>
      <c r="Z938" s="9"/>
      <c r="AA938" s="9"/>
      <c r="AB938" s="21"/>
    </row>
    <row r="939" spans="1:28" x14ac:dyDescent="0.2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9"/>
      <c r="Y939" s="9"/>
      <c r="Z939" s="9"/>
      <c r="AA939" s="9"/>
      <c r="AB939" s="21"/>
    </row>
    <row r="940" spans="1:28" x14ac:dyDescent="0.2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9"/>
      <c r="Y940" s="9"/>
      <c r="Z940" s="9"/>
      <c r="AA940" s="9"/>
      <c r="AB940" s="21"/>
    </row>
    <row r="941" spans="1:28" x14ac:dyDescent="0.2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9"/>
      <c r="Y941" s="9"/>
      <c r="Z941" s="9"/>
      <c r="AA941" s="9"/>
      <c r="AB941" s="21"/>
    </row>
    <row r="942" spans="1:28" x14ac:dyDescent="0.2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9"/>
      <c r="Y942" s="9"/>
      <c r="Z942" s="9"/>
      <c r="AA942" s="9"/>
      <c r="AB942" s="21"/>
    </row>
    <row r="943" spans="1:28" x14ac:dyDescent="0.2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9"/>
      <c r="Y943" s="9"/>
      <c r="Z943" s="9"/>
      <c r="AA943" s="9"/>
      <c r="AB943" s="21"/>
    </row>
    <row r="944" spans="1:28" x14ac:dyDescent="0.2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9"/>
      <c r="Y944" s="9"/>
      <c r="Z944" s="9"/>
      <c r="AA944" s="9"/>
      <c r="AB944" s="21"/>
    </row>
    <row r="945" spans="1:28" x14ac:dyDescent="0.2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9"/>
      <c r="Y945" s="9"/>
      <c r="Z945" s="9"/>
      <c r="AA945" s="9"/>
      <c r="AB945" s="21"/>
    </row>
    <row r="946" spans="1:28" x14ac:dyDescent="0.2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9"/>
      <c r="Y946" s="9"/>
      <c r="Z946" s="9"/>
      <c r="AA946" s="9"/>
      <c r="AB946" s="21"/>
    </row>
    <row r="947" spans="1:28" x14ac:dyDescent="0.2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9"/>
      <c r="Y947" s="9"/>
      <c r="Z947" s="9"/>
      <c r="AA947" s="9"/>
      <c r="AB947" s="21"/>
    </row>
    <row r="948" spans="1:28" x14ac:dyDescent="0.2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9"/>
      <c r="Y948" s="9"/>
      <c r="Z948" s="9"/>
      <c r="AA948" s="9"/>
      <c r="AB948" s="21"/>
    </row>
    <row r="949" spans="1:28" x14ac:dyDescent="0.2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9"/>
      <c r="Y949" s="9"/>
      <c r="Z949" s="9"/>
      <c r="AA949" s="9"/>
      <c r="AB949" s="21"/>
    </row>
    <row r="950" spans="1:28" x14ac:dyDescent="0.2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9"/>
      <c r="Y950" s="9"/>
      <c r="Z950" s="9"/>
      <c r="AA950" s="9"/>
      <c r="AB950" s="21"/>
    </row>
    <row r="951" spans="1:28" x14ac:dyDescent="0.2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9"/>
      <c r="Y951" s="9"/>
      <c r="Z951" s="9"/>
      <c r="AA951" s="9"/>
      <c r="AB951" s="21"/>
    </row>
    <row r="952" spans="1:28" x14ac:dyDescent="0.2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9"/>
      <c r="Y952" s="9"/>
      <c r="Z952" s="9"/>
      <c r="AA952" s="9"/>
      <c r="AB952" s="21"/>
    </row>
    <row r="953" spans="1:28" x14ac:dyDescent="0.2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9"/>
      <c r="Y953" s="9"/>
      <c r="Z953" s="9"/>
      <c r="AA953" s="9"/>
      <c r="AB953" s="21"/>
    </row>
    <row r="954" spans="1:28" x14ac:dyDescent="0.2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9"/>
      <c r="Y954" s="9"/>
      <c r="Z954" s="9"/>
      <c r="AA954" s="9"/>
      <c r="AB954" s="21"/>
    </row>
    <row r="955" spans="1:28" x14ac:dyDescent="0.2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9"/>
      <c r="Y955" s="9"/>
      <c r="Z955" s="9"/>
      <c r="AA955" s="9"/>
      <c r="AB955" s="21"/>
    </row>
    <row r="956" spans="1:28" x14ac:dyDescent="0.2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9"/>
      <c r="Y956" s="9"/>
      <c r="Z956" s="9"/>
      <c r="AA956" s="9"/>
      <c r="AB956" s="21"/>
    </row>
    <row r="957" spans="1:28" x14ac:dyDescent="0.2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9"/>
      <c r="Y957" s="9"/>
      <c r="Z957" s="9"/>
      <c r="AA957" s="9"/>
      <c r="AB957" s="21"/>
    </row>
    <row r="958" spans="1:28" x14ac:dyDescent="0.2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9"/>
      <c r="Y958" s="9"/>
      <c r="Z958" s="9"/>
      <c r="AA958" s="9"/>
      <c r="AB958" s="21"/>
    </row>
    <row r="959" spans="1:28" x14ac:dyDescent="0.2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9"/>
      <c r="Y959" s="9"/>
      <c r="Z959" s="9"/>
      <c r="AA959" s="9"/>
      <c r="AB959" s="21"/>
    </row>
    <row r="960" spans="1:28" x14ac:dyDescent="0.2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9"/>
      <c r="Y960" s="9"/>
      <c r="Z960" s="9"/>
      <c r="AA960" s="9"/>
      <c r="AB960" s="21"/>
    </row>
    <row r="961" spans="1:28" x14ac:dyDescent="0.2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9"/>
      <c r="Y961" s="9"/>
      <c r="Z961" s="9"/>
      <c r="AA961" s="9"/>
      <c r="AB961" s="21"/>
    </row>
    <row r="962" spans="1:28" x14ac:dyDescent="0.2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9"/>
      <c r="Y962" s="9"/>
      <c r="Z962" s="9"/>
      <c r="AA962" s="9"/>
      <c r="AB962" s="21"/>
    </row>
    <row r="963" spans="1:28" x14ac:dyDescent="0.2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9"/>
      <c r="Y963" s="9"/>
      <c r="Z963" s="9"/>
      <c r="AA963" s="9"/>
      <c r="AB963" s="21"/>
    </row>
    <row r="964" spans="1:28" x14ac:dyDescent="0.2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9"/>
      <c r="Y964" s="9"/>
      <c r="Z964" s="9"/>
      <c r="AA964" s="9"/>
      <c r="AB964" s="21"/>
    </row>
    <row r="965" spans="1:28" x14ac:dyDescent="0.2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9"/>
      <c r="Y965" s="9"/>
      <c r="Z965" s="9"/>
      <c r="AA965" s="9"/>
      <c r="AB965" s="21"/>
    </row>
    <row r="966" spans="1:28" x14ac:dyDescent="0.2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9"/>
      <c r="Y966" s="9"/>
      <c r="Z966" s="9"/>
      <c r="AA966" s="9"/>
      <c r="AB966" s="21"/>
    </row>
    <row r="967" spans="1:28" x14ac:dyDescent="0.2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9"/>
      <c r="Y967" s="9"/>
      <c r="Z967" s="9"/>
      <c r="AA967" s="9"/>
      <c r="AB967" s="21"/>
    </row>
    <row r="968" spans="1:28" x14ac:dyDescent="0.2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9"/>
      <c r="Y968" s="9"/>
      <c r="Z968" s="9"/>
      <c r="AA968" s="9"/>
      <c r="AB968" s="21"/>
    </row>
    <row r="969" spans="1:28" x14ac:dyDescent="0.2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9"/>
      <c r="Y969" s="9"/>
      <c r="Z969" s="9"/>
      <c r="AA969" s="9"/>
      <c r="AB969" s="21"/>
    </row>
    <row r="970" spans="1:28" x14ac:dyDescent="0.2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9"/>
      <c r="Y970" s="9"/>
      <c r="Z970" s="9"/>
      <c r="AA970" s="9"/>
      <c r="AB970" s="21"/>
    </row>
    <row r="971" spans="1:28" x14ac:dyDescent="0.2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9"/>
      <c r="Y971" s="9"/>
      <c r="Z971" s="9"/>
      <c r="AA971" s="9"/>
      <c r="AB971" s="21"/>
    </row>
    <row r="972" spans="1:28" x14ac:dyDescent="0.2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9"/>
      <c r="Y972" s="9"/>
      <c r="Z972" s="9"/>
      <c r="AA972" s="9"/>
      <c r="AB972" s="21"/>
    </row>
    <row r="973" spans="1:28" x14ac:dyDescent="0.2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9"/>
      <c r="Y973" s="9"/>
      <c r="Z973" s="9"/>
      <c r="AA973" s="9"/>
      <c r="AB973" s="21"/>
    </row>
    <row r="974" spans="1:28" x14ac:dyDescent="0.2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9"/>
      <c r="Y974" s="9"/>
      <c r="Z974" s="9"/>
      <c r="AA974" s="9"/>
      <c r="AB974" s="21"/>
    </row>
    <row r="975" spans="1:28" x14ac:dyDescent="0.2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9"/>
      <c r="Y975" s="9"/>
      <c r="Z975" s="9"/>
      <c r="AA975" s="9"/>
      <c r="AB975" s="21"/>
    </row>
    <row r="976" spans="1:28" x14ac:dyDescent="0.2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9"/>
      <c r="Y976" s="9"/>
      <c r="Z976" s="9"/>
      <c r="AA976" s="9"/>
      <c r="AB976" s="21"/>
    </row>
    <row r="977" spans="1:28" x14ac:dyDescent="0.2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9"/>
      <c r="Y977" s="9"/>
      <c r="Z977" s="9"/>
      <c r="AA977" s="9"/>
      <c r="AB977" s="21"/>
    </row>
    <row r="978" spans="1:28" x14ac:dyDescent="0.2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9"/>
      <c r="Y978" s="9"/>
      <c r="Z978" s="9"/>
      <c r="AA978" s="9"/>
      <c r="AB978" s="21"/>
    </row>
    <row r="979" spans="1:28" x14ac:dyDescent="0.2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9"/>
      <c r="Y979" s="9"/>
      <c r="Z979" s="9"/>
      <c r="AA979" s="9"/>
      <c r="AB979" s="21"/>
    </row>
    <row r="980" spans="1:28" x14ac:dyDescent="0.2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9"/>
      <c r="Y980" s="9"/>
      <c r="Z980" s="9"/>
      <c r="AA980" s="9"/>
      <c r="AB980" s="21"/>
    </row>
    <row r="981" spans="1:28" x14ac:dyDescent="0.2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9"/>
      <c r="Y981" s="9"/>
      <c r="Z981" s="9"/>
      <c r="AA981" s="9"/>
      <c r="AB981" s="21"/>
    </row>
    <row r="982" spans="1:28" x14ac:dyDescent="0.2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9"/>
      <c r="Y982" s="9"/>
      <c r="Z982" s="9"/>
      <c r="AA982" s="9"/>
      <c r="AB982" s="21"/>
    </row>
    <row r="983" spans="1:28" x14ac:dyDescent="0.2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9"/>
      <c r="Y983" s="9"/>
      <c r="Z983" s="9"/>
      <c r="AA983" s="9"/>
      <c r="AB983" s="21"/>
    </row>
    <row r="984" spans="1:28" x14ac:dyDescent="0.2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9"/>
      <c r="Y984" s="9"/>
      <c r="Z984" s="9"/>
      <c r="AA984" s="9"/>
      <c r="AB984" s="21"/>
    </row>
    <row r="985" spans="1:28" x14ac:dyDescent="0.2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9"/>
      <c r="Y985" s="9"/>
      <c r="Z985" s="9"/>
      <c r="AA985" s="9"/>
      <c r="AB985" s="21"/>
    </row>
    <row r="986" spans="1:28" x14ac:dyDescent="0.2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9"/>
      <c r="Y986" s="9"/>
      <c r="Z986" s="9"/>
      <c r="AA986" s="9"/>
      <c r="AB986" s="21"/>
    </row>
    <row r="987" spans="1:28" x14ac:dyDescent="0.2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9"/>
      <c r="Y987" s="9"/>
      <c r="Z987" s="9"/>
      <c r="AA987" s="9"/>
      <c r="AB987" s="21"/>
    </row>
    <row r="988" spans="1:28" x14ac:dyDescent="0.2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9"/>
      <c r="Y988" s="9"/>
      <c r="Z988" s="9"/>
      <c r="AA988" s="9"/>
      <c r="AB988" s="21"/>
    </row>
    <row r="989" spans="1:28" x14ac:dyDescent="0.2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9"/>
      <c r="Y989" s="9"/>
      <c r="Z989" s="9"/>
      <c r="AA989" s="9"/>
      <c r="AB989" s="21"/>
    </row>
    <row r="990" spans="1:28" x14ac:dyDescent="0.2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9"/>
      <c r="Y990" s="9"/>
      <c r="Z990" s="9"/>
      <c r="AA990" s="9"/>
      <c r="AB990" s="21"/>
    </row>
    <row r="991" spans="1:28" x14ac:dyDescent="0.2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9"/>
      <c r="Y991" s="9"/>
      <c r="Z991" s="9"/>
      <c r="AA991" s="9"/>
      <c r="AB991" s="21"/>
    </row>
    <row r="992" spans="1:28" x14ac:dyDescent="0.2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9"/>
      <c r="Y992" s="9"/>
      <c r="Z992" s="9"/>
      <c r="AA992" s="9"/>
      <c r="AB992" s="21"/>
    </row>
    <row r="993" spans="1:28" x14ac:dyDescent="0.2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9"/>
      <c r="Y993" s="9"/>
      <c r="Z993" s="9"/>
      <c r="AA993" s="9"/>
      <c r="AB993" s="21"/>
    </row>
    <row r="994" spans="1:28" x14ac:dyDescent="0.2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9"/>
      <c r="Y994" s="9"/>
      <c r="Z994" s="9"/>
      <c r="AA994" s="9"/>
      <c r="AB994" s="21"/>
    </row>
    <row r="995" spans="1:28" x14ac:dyDescent="0.2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9"/>
      <c r="Y995" s="9"/>
      <c r="Z995" s="9"/>
      <c r="AA995" s="9"/>
      <c r="AB995" s="21"/>
    </row>
    <row r="996" spans="1:28" x14ac:dyDescent="0.2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9"/>
      <c r="Y996" s="9"/>
      <c r="Z996" s="9"/>
      <c r="AA996" s="9"/>
      <c r="AB996" s="21"/>
    </row>
    <row r="997" spans="1:28" x14ac:dyDescent="0.2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9"/>
      <c r="Y997" s="9"/>
      <c r="Z997" s="9"/>
      <c r="AA997" s="9"/>
      <c r="AB997" s="21"/>
    </row>
    <row r="998" spans="1:28" x14ac:dyDescent="0.2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9"/>
      <c r="Y998" s="9"/>
      <c r="Z998" s="9"/>
      <c r="AA998" s="9"/>
      <c r="AB998" s="21"/>
    </row>
    <row r="999" spans="1:28" x14ac:dyDescent="0.2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9"/>
      <c r="Y999" s="9"/>
      <c r="Z999" s="9"/>
      <c r="AA999" s="9"/>
      <c r="AB999" s="21"/>
    </row>
    <row r="1000" spans="1:28" x14ac:dyDescent="0.2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9"/>
      <c r="Y1000" s="9"/>
      <c r="Z1000" s="9"/>
      <c r="AA1000" s="9"/>
      <c r="AB1000" s="21"/>
    </row>
  </sheetData>
  <mergeCells count="7">
    <mergeCell ref="P1:S1"/>
    <mergeCell ref="T1:W1"/>
    <mergeCell ref="A1:A2"/>
    <mergeCell ref="B1:B2"/>
    <mergeCell ref="D1:G1"/>
    <mergeCell ref="H1:K1"/>
    <mergeCell ref="L1:O1"/>
  </mergeCells>
  <conditionalFormatting sqref="D3:W15">
    <cfRule type="notContainsBlanks" dxfId="0" priority="1">
      <formula>LEN(TRIM(D3))&gt;0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B1000"/>
  <sheetViews>
    <sheetView zoomScale="140" zoomScaleNormal="140" workbookViewId="0">
      <selection activeCell="C2" sqref="C2"/>
    </sheetView>
  </sheetViews>
  <sheetFormatPr defaultColWidth="12.6640625" defaultRowHeight="15.75" customHeight="1" x14ac:dyDescent="0.25"/>
  <cols>
    <col min="1" max="1" width="10.21875" customWidth="1"/>
    <col min="2" max="2" width="18" customWidth="1"/>
  </cols>
  <sheetData>
    <row r="1" spans="1:54" x14ac:dyDescent="0.25">
      <c r="A1" s="23" t="s">
        <v>143</v>
      </c>
      <c r="B1" s="23" t="s">
        <v>161</v>
      </c>
      <c r="C1" s="23" t="s">
        <v>162</v>
      </c>
      <c r="D1" s="23" t="s">
        <v>163</v>
      </c>
      <c r="E1" s="23" t="s">
        <v>164</v>
      </c>
      <c r="F1" s="23" t="s">
        <v>165</v>
      </c>
      <c r="G1" s="23" t="s">
        <v>166</v>
      </c>
      <c r="H1" s="23" t="s">
        <v>167</v>
      </c>
      <c r="I1" s="23" t="s">
        <v>168</v>
      </c>
      <c r="J1" s="23" t="s">
        <v>169</v>
      </c>
      <c r="K1" s="23" t="s">
        <v>170</v>
      </c>
      <c r="L1" s="23" t="s">
        <v>171</v>
      </c>
      <c r="M1" s="23" t="s">
        <v>172</v>
      </c>
      <c r="N1" s="23" t="s">
        <v>173</v>
      </c>
      <c r="O1" s="23" t="s">
        <v>174</v>
      </c>
      <c r="P1" s="23" t="s">
        <v>175</v>
      </c>
      <c r="Q1" s="23" t="s">
        <v>176</v>
      </c>
      <c r="R1" s="23" t="s">
        <v>177</v>
      </c>
      <c r="S1" s="23" t="s">
        <v>178</v>
      </c>
      <c r="T1" s="23" t="s">
        <v>179</v>
      </c>
      <c r="U1" s="23" t="s">
        <v>180</v>
      </c>
      <c r="V1" s="23" t="s">
        <v>181</v>
      </c>
      <c r="W1" s="23" t="s">
        <v>182</v>
      </c>
      <c r="X1" s="23" t="s">
        <v>183</v>
      </c>
      <c r="Y1" s="23" t="s">
        <v>184</v>
      </c>
      <c r="Z1" s="23" t="s">
        <v>185</v>
      </c>
      <c r="AA1" s="23" t="s">
        <v>186</v>
      </c>
      <c r="AB1" s="23" t="s">
        <v>187</v>
      </c>
      <c r="AC1" s="23" t="s">
        <v>188</v>
      </c>
      <c r="AD1" s="23" t="s">
        <v>189</v>
      </c>
      <c r="AE1" s="23" t="s">
        <v>190</v>
      </c>
      <c r="AF1" s="23" t="s">
        <v>191</v>
      </c>
      <c r="AG1" s="23" t="s">
        <v>192</v>
      </c>
      <c r="AH1" s="23" t="s">
        <v>193</v>
      </c>
      <c r="AI1" s="23" t="s">
        <v>194</v>
      </c>
      <c r="AJ1" s="23" t="s">
        <v>195</v>
      </c>
      <c r="AK1" s="23" t="s">
        <v>196</v>
      </c>
      <c r="AL1" s="23" t="s">
        <v>197</v>
      </c>
      <c r="AM1" s="23" t="s">
        <v>198</v>
      </c>
      <c r="AN1" s="23" t="s">
        <v>199</v>
      </c>
      <c r="AO1" s="23" t="s">
        <v>200</v>
      </c>
      <c r="AP1" s="23" t="s">
        <v>201</v>
      </c>
      <c r="AQ1" s="23" t="s">
        <v>202</v>
      </c>
      <c r="AR1" s="24" t="s">
        <v>203</v>
      </c>
      <c r="AS1" s="23" t="s">
        <v>204</v>
      </c>
      <c r="AT1" s="23" t="s">
        <v>205</v>
      </c>
      <c r="AU1" s="23" t="s">
        <v>206</v>
      </c>
      <c r="AV1" s="23" t="s">
        <v>207</v>
      </c>
      <c r="AW1" s="23" t="s">
        <v>208</v>
      </c>
      <c r="AX1" s="23" t="s">
        <v>209</v>
      </c>
      <c r="AY1" s="23" t="s">
        <v>210</v>
      </c>
      <c r="AZ1" s="23" t="s">
        <v>211</v>
      </c>
      <c r="BA1" s="25"/>
      <c r="BB1" s="25"/>
    </row>
    <row r="2" spans="1:54" x14ac:dyDescent="0.25">
      <c r="A2" s="26" t="str">
        <f>'IA Marks'!B3</f>
        <v>22BSR16003</v>
      </c>
      <c r="B2" s="26" t="str">
        <f>'IA Marks'!C3</f>
        <v>ANANYA SURESH</v>
      </c>
      <c r="C2" s="27">
        <f>('Componentwise marks'!D3 + 'Componentwise marks'!H3 + 'Componentwise marks'!L3 + 'Componentwise marks'!P3 + 'Componentwise marks'!T3) / ( (Assessments!$C$2*Assessments!$B$2) + (Assessments!$C$3*Assessments!$B$3) + (Assessments!$C$4*Assessments!$B$4) + (Assessments!$C$5*Assessments!$B$5) + (Assessments!$C$6*Assessments!$B$6)) * 100</f>
        <v>81.607843137254903</v>
      </c>
      <c r="D2" s="28">
        <f>IF(C2&gt;=Assessments!$G$2*1.2, 3, IF(C2&gt;=Assessments!$G$2, 2, 1))</f>
        <v>3</v>
      </c>
      <c r="E2" s="27">
        <f>('Componentwise marks'!E3 + 'Componentwise marks'!I3 + 'Componentwise marks'!M3 + 'Componentwise marks'!Q3 + 'Componentwise marks'!U3) / ( (Assessments!$D$2*Assessments!$B$2) + (Assessments!$D$3*Assessments!$B$3) + (Assessments!$D$4*Assessments!$B$4) + (Assessments!$D$5*Assessments!$B$5) + (Assessments!$D$6*Assessments!$B$6)) * 100</f>
        <v>81.093333333333334</v>
      </c>
      <c r="F2" s="28">
        <f>IF(E2&gt;=Assessments!$G$2*1.2, 3, IF(E2&gt;=Assessments!$G$2, 2, 1))</f>
        <v>3</v>
      </c>
      <c r="G2" s="27">
        <f>('Componentwise marks'!F3 + 'Componentwise marks'!J3 + 'Componentwise marks'!N3 + 'Componentwise marks'!R3 + 'Componentwise marks'!V3) / ( (Assessments!$E$2*Assessments!$B$2) + (Assessments!$E$3*Assessments!$B$3) + (Assessments!$E$4*Assessments!$B$4) + (Assessments!$E$5*Assessments!$B$5) + (Assessments!$E$6*Assessments!$B$6)) * 100</f>
        <v>79.405405405405418</v>
      </c>
      <c r="H2" s="28">
        <f>IF(G2&gt;=Assessments!$G$2*1.2, 3, IF(G2&gt;=Assessments!$G$2, 2, 1))</f>
        <v>3</v>
      </c>
      <c r="I2" s="27">
        <f>('Componentwise marks'!G3 + 'Componentwise marks'!K3 + 'Componentwise marks'!O3 + 'Componentwise marks'!S3 + 'Componentwise marks'!W3) / ( (Assessments!$F$2*Assessments!$B$2) + (Assessments!$F$3*Assessments!$B$3) + (Assessments!$F$4*Assessments!$B$4) + (Assessments!$F$5*Assessments!$B$5) + (Assessments!$F$6*Assessments!$B$6)) * 100</f>
        <v>79.405405405405418</v>
      </c>
      <c r="J2" s="28">
        <f>IF(I2&gt;=Assessments!$G$2*1.2, 3, IF(I2&gt;=Assessments!$G$2, 2, 1))</f>
        <v>3</v>
      </c>
      <c r="K2" s="27">
        <f t="shared" ref="K2:K14" si="0">C2*0.9</f>
        <v>73.447058823529417</v>
      </c>
      <c r="L2" s="29">
        <f t="shared" ref="L2:L14" si="1">C2*0.05</f>
        <v>4.0803921568627457</v>
      </c>
      <c r="M2" s="29">
        <f t="shared" ref="M2:M14" si="2">C2*0.05</f>
        <v>4.0803921568627457</v>
      </c>
      <c r="N2" s="29">
        <f t="shared" ref="N2:N14" si="3">E2*0.7</f>
        <v>56.765333333333331</v>
      </c>
      <c r="O2" s="29">
        <f t="shared" ref="O2:O14" si="4">E2*0.15</f>
        <v>12.164</v>
      </c>
      <c r="P2" s="29">
        <f t="shared" ref="P2:P14" si="5">E2*0.15</f>
        <v>12.164</v>
      </c>
      <c r="Q2" s="27">
        <f t="shared" ref="Q2:Q14" si="6">G2*0.4</f>
        <v>31.76216216216217</v>
      </c>
      <c r="R2" s="29">
        <f t="shared" ref="R2:R14" si="7">G2*0.5</f>
        <v>39.702702702702709</v>
      </c>
      <c r="S2" s="29">
        <f t="shared" ref="S2:S14" si="8">G2*0.1</f>
        <v>7.9405405405405425</v>
      </c>
      <c r="T2" s="29">
        <f t="shared" ref="T2:T14" si="9">I2*0.4</f>
        <v>31.76216216216217</v>
      </c>
      <c r="U2" s="29">
        <f t="shared" ref="U2:U14" si="10">I2*0.5</f>
        <v>39.702702702702709</v>
      </c>
      <c r="V2" s="29">
        <f t="shared" ref="V2:V14" si="11">I2*0.1</f>
        <v>7.9405405405405425</v>
      </c>
      <c r="W2" s="32">
        <f>(K2+N2+Q2+T2)/(0.9+0.7+0.4+0.4)</f>
        <v>80.723631867161274</v>
      </c>
      <c r="X2">
        <f>IF(W2&gt;=Assessments!$G$2*1.2, 3, IF(W2&gt;=Assessments!$G$2, 2, 1))</f>
        <v>3</v>
      </c>
      <c r="Y2" s="29">
        <f>(L2+O2+R2+U2)/(0.05+0.15+0.5+0.5)</f>
        <v>79.708164635223469</v>
      </c>
      <c r="Z2">
        <f>IF(Y2&gt;=Assessments!$G$2*1.2, 3, IF(Y2&gt;=Assessments!$G$2, 2, 1))</f>
        <v>3</v>
      </c>
      <c r="AA2" s="29">
        <f>(M2+P2+S2+V2)/(0.05+0.15+0.1+0.1)</f>
        <v>80.31368309485957</v>
      </c>
      <c r="AB2">
        <f>IF(AA2&gt;=Assessments!$G$2*1.2, 3, IF(AA2&gt;=Assessments!$G$2, 2, 1))</f>
        <v>3</v>
      </c>
      <c r="AC2" s="27">
        <f>((COs!$E$2 * C2 + COs!$E$3 * E2 + COs!$E$4 * G2 + COs!$E$5 * I2) / (COs!$E$2 * Assessments!$B$2 * Assessments!$C$2 + COs!$E$3 * Assessments!$B$3 * Assessments!$D$3 + COs!$E$4 * Assessments!$B$4 * Assessments!$E$4 + COs!$E$5 * Assessments!$B$5 * Assessments!$F$5))</f>
        <v>65.121631372549018</v>
      </c>
      <c r="AD2" s="28">
        <f>IF(AC2&gt;=Assessments!$G$2*1.2, 3, IF(AC2&gt;=Assessments!$G$2, 2, 1))</f>
        <v>2</v>
      </c>
      <c r="AE2" s="27">
        <f>((COs!$E$2 * C2 + COs!$E$3 * E2 + COs!$E$4 * G2 + COs!$E$5 * I2) / (COs!$E$2 * Assessments!$B$2 * Assessments!$C$2 + COs!$E$3 * Assessments!$B$3 * Assessments!$D$3 + COs!$E$4 * Assessments!$B$4 * Assessments!$E$4 + COs!$E$5 * Assessments!$B$5 * Assessments!$F$5))</f>
        <v>65.121631372549018</v>
      </c>
      <c r="AF2" s="28">
        <f>IF(AE2&gt;=Assessments!$G$2*1.2, 3, IF(AE2&gt;=Assessments!$G$2, 2, 1))</f>
        <v>2</v>
      </c>
      <c r="AG2" s="29">
        <f>((COs!$G$2 * C2 + COs!$G$3 * E2 + COs!$G$4 * G2 + COs!$G$5 * I2) / (COs!$G$2 * Assessments!$B$2 * Assessments!$C$2 + COs!$G$3 * Assessments!$B$3 * Assessments!$D$3 + COs!$G$4 * Assessments!$B$4 * Assessments!$E$4 + COs!$G$5 * Assessments!$B$5 * Assessments!$F$5))</f>
        <v>61.463886743886739</v>
      </c>
      <c r="AH2" s="28">
        <f>IF(AG2&gt;=Assessments!$G$2*1.2, 3, IF(AG2&gt;=Assessments!$G$2, 2, 1))</f>
        <v>1</v>
      </c>
      <c r="AI2" s="29">
        <f>((COs!$H$2 * C2 + COs!$H$3 * E2 + COs!$H$4 * G2 + COs!$H$5 * I2) / (COs!$H$2 * Assessments!$B$2 * Assessments!$C$2 + COs!$H$3 * Assessments!$B$3 * Assessments!$D$3 + COs!$H$4 * Assessments!$B$4 * Assessments!$E$4 + COs!$H$5 * Assessments!$B$5 * Assessments!$F$5))</f>
        <v>36.551321068968136</v>
      </c>
      <c r="AJ2" s="28">
        <f>IF(AI2&gt;=Assessments!$G$2*1.2, 3, IF(AI2&gt;=Assessments!$G$2, 2, 1))</f>
        <v>1</v>
      </c>
      <c r="AK2" s="29">
        <f>((COs!$I$2 * C2 + COs!$I$3 * E2 + COs!$I$4 * G2 + COs!$I$5 * I2) / (COs!$I$2 * Assessments!$B$2 * Assessments!$C$2 + COs!$I$3 * Assessments!$B$3 * Assessments!$D$3 + COs!$I$4 * Assessments!$B$4 * Assessments!$E$4 + COs!$I$5 * Assessments!$B$5 * Assessments!$F$5))</f>
        <v>65.011869281045762</v>
      </c>
      <c r="AL2" s="28">
        <f>IF(AK2&gt;=Assessments!$G$2*1.2, 3, IF(AK2&gt;=Assessments!$G$2, 2, 1))</f>
        <v>2</v>
      </c>
      <c r="AM2" s="29">
        <f>((COs!$J$2 * C2 + COs!$J$3 * E2 + COs!$J$4 * G2 + COs!$J$5 * I2) / (COs!$J$2 * Assessments!$B$2 * Assessments!$C$2 + COs!$J$3 * Assessments!$B$3 * Assessments!$D$3 + COs!$J$4 * Assessments!$B$4 * Assessments!$E$4 + COs!$J$5 * Assessments!$B$5 * Assessments!$F$5))</f>
        <v>26.468468468468473</v>
      </c>
      <c r="AN2" s="28">
        <f>IF(AM2&gt;=Assessments!$G$2*1.2, 3, IF(AM2&gt;=Assessments!$G$2, 2, 1))</f>
        <v>1</v>
      </c>
      <c r="AO2" s="29">
        <f>((COs!$K$2 * C2 + COs!$K$3 * E2 + COs!$K$4 * G2 + COs!$K$5 * I2) / (COs!$K$2 * Assessments!$B$2 * Assessments!$C$2 + COs!$K$3 * Assessments!$B$3 * Assessments!$D$3 + COs!$K$4 * Assessments!$B$4 * Assessments!$E$4 + COs!$K$5 * Assessments!$B$5 * Assessments!$F$5))</f>
        <v>26.468468468468473</v>
      </c>
      <c r="AP2" s="28">
        <f>IF(AO2&gt;=Assessments!$G$2*1.2, 3, IF(AO2&gt;=Assessments!$G$2, 2, 1))</f>
        <v>1</v>
      </c>
      <c r="AQ2" s="29">
        <f>((COs!$L$2 * C2 + COs!$L$3 * E2 + COs!$L$4 * G2 + COs!$L$5 * I2) / (COs!$L$2 * Assessments!$B$2 * Assessments!$C$2 + COs!$L$3 * Assessments!$B$3 * Assessments!$D$3 + COs!$L$4 * Assessments!$B$4 * Assessments!$E$4 + COs!$L$5 * Assessments!$B$5 * Assessments!$F$5))</f>
        <v>35.291291291291294</v>
      </c>
      <c r="AR2" s="28">
        <f>IF(AQ2&gt;=Assessments!$G$2*1.2, 3, IF(AQ2&gt;=Assessments!$G$2, 2, 1))</f>
        <v>1</v>
      </c>
      <c r="AS2" s="29">
        <f>((COs!$M$2 * C2 + COs!$M$3 * E2 + COs!$M$4 * G2 + COs!$M$5 * I2) / (COs!$M$2 * Assessments!$B$2 * Assessments!$C$2 + COs!$M$3 * Assessments!$B$3 * Assessments!$D$3 + COs!$M$4 * Assessments!$B$4 * Assessments!$E$4 + COs!$M$5 * Assessments!$B$5 * Assessments!$F$5))</f>
        <v>35.291291291291294</v>
      </c>
      <c r="AT2" s="28">
        <f>IF(AS2&gt;=Assessments!$G$2*1.2, 3, IF(AS2&gt;=Assessments!$G$2, 2, 1))</f>
        <v>1</v>
      </c>
      <c r="AU2" s="29">
        <f>((COs!$N$2 * C2 + COs!$N$3 * E2 + COs!$N$4 * G2 + COs!$N$5 * I2) / (COs!$N$2 * Assessments!$B$2 * Assessments!$C$2 + COs!$N$3 * Assessments!$B$3 * Assessments!$D$3 + COs!$N$4 * Assessments!$B$4 * Assessments!$E$4 + COs!$N$5 * Assessments!$B$5 * Assessments!$F$5))</f>
        <v>49.489767776826604</v>
      </c>
      <c r="AV2" s="28">
        <f>IF(AU2&gt;=Assessments!$G$2*1.2, 3, IF(AU2&gt;=Assessments!$G$2, 2, 1))</f>
        <v>1</v>
      </c>
      <c r="AW2" s="29">
        <f>((COs!$O$2 * C2 + COs!$O$3 * E2 + COs!$O$4 * G2 + COs!$O$5 * I2) / (COs!$O$2 * Assessments!$B$2 * Assessments!$C$2 + COs!$O$3 * Assessments!$B$3 * Assessments!$D$3 + COs!$O$4 * Assessments!$B$4 * Assessments!$E$4 + COs!$O$5 * Assessments!$B$5 * Assessments!$F$5))</f>
        <v>36.084555498895128</v>
      </c>
      <c r="AX2" s="28">
        <f>IF(AW2&gt;=Assessments!$G$2*1.2, 3, IF(AW2&gt;=Assessments!$G$2, 2, 1))</f>
        <v>1</v>
      </c>
      <c r="AY2" s="29">
        <f>((COs!$P$2 * C2 + COs!$P$3 * E2 + COs!$P$4 * G2 + COs!$P$5 * I2) / (COs!$P$2 * Assessments!$B$2 * Assessments!$C$2 + COs!$P$3 * Assessments!$B$3 * Assessments!$D$3 + COs!$P$4 * Assessments!$B$4 * Assessments!$E$4 + COs!$P$5 * Assessments!$B$5 * Assessments!$F$5))</f>
        <v>31.762162162162166</v>
      </c>
      <c r="AZ2" s="28">
        <f>IF(AY2&gt;=Assessments!$G$2*1.2, 3, IF(AY2&gt;=Assessments!$G$2, 2, 1))</f>
        <v>1</v>
      </c>
      <c r="BA2" s="30"/>
      <c r="BB2" s="30"/>
    </row>
    <row r="3" spans="1:54" x14ac:dyDescent="0.25">
      <c r="A3" s="26" t="str">
        <f>'IA Marks'!B4</f>
        <v>22BSR16005</v>
      </c>
      <c r="B3" s="26" t="str">
        <f>'IA Marks'!C4</f>
        <v>MANYA MAHESHWARI</v>
      </c>
      <c r="C3" s="27">
        <f>('Componentwise marks'!D4 + 'Componentwise marks'!H4 + 'Componentwise marks'!L4 + 'Componentwise marks'!P4 + 'Componentwise marks'!T4) / ( (Assessments!$C$2*Assessments!$B$2) + (Assessments!$C$3*Assessments!$B$3) + (Assessments!$C$4*Assessments!$B$4) + (Assessments!$C$5*Assessments!$B$5) + (Assessments!$C$6*Assessments!$B$6)) * 100</f>
        <v>81.470588235294116</v>
      </c>
      <c r="D3" s="28">
        <f>IF(C3&gt;=Assessments!$G$2*1.2, 3, IF(C3&gt;=Assessments!$G$2, 2, 1))</f>
        <v>3</v>
      </c>
      <c r="E3" s="27">
        <f>('Componentwise marks'!E4 + 'Componentwise marks'!I4 + 'Componentwise marks'!M4 + 'Componentwise marks'!Q4 + 'Componentwise marks'!U4) / ( (Assessments!$D$2*Assessments!$B$2) + (Assessments!$D$3*Assessments!$B$3) + (Assessments!$D$4*Assessments!$B$4) + (Assessments!$D$5*Assessments!$B$5) + (Assessments!$D$6*Assessments!$B$6)) * 100</f>
        <v>81</v>
      </c>
      <c r="F3" s="28">
        <f>IF(E3&gt;=Assessments!$G$2*1.2, 3, IF(E3&gt;=Assessments!$G$2, 2, 1))</f>
        <v>3</v>
      </c>
      <c r="G3" s="27">
        <f>('Componentwise marks'!F4 + 'Componentwise marks'!J4 + 'Componentwise marks'!N4 + 'Componentwise marks'!R4 + 'Componentwise marks'!V4) / ( (Assessments!$E$2*Assessments!$B$2) + (Assessments!$E$3*Assessments!$B$3) + (Assessments!$E$4*Assessments!$B$4) + (Assessments!$E$5*Assessments!$B$5) + (Assessments!$E$6*Assessments!$B$6)) * 100</f>
        <v>79.324324324324323</v>
      </c>
      <c r="H3" s="28">
        <f>IF(G3&gt;=Assessments!$G$2*1.2, 3, IF(G3&gt;=Assessments!$G$2, 2, 1))</f>
        <v>3</v>
      </c>
      <c r="I3" s="27">
        <f>('Componentwise marks'!G4 + 'Componentwise marks'!K4 + 'Componentwise marks'!O4 + 'Componentwise marks'!S4 + 'Componentwise marks'!W4) / ( (Assessments!$F$2*Assessments!$B$2) + (Assessments!$F$3*Assessments!$B$3) + (Assessments!$F$4*Assessments!$B$4) + (Assessments!$F$5*Assessments!$B$5) + (Assessments!$F$6*Assessments!$B$6)) * 100</f>
        <v>79.324324324324323</v>
      </c>
      <c r="J3" s="28">
        <f>IF(I3&gt;=Assessments!$G$2*1.2, 3, IF(I3&gt;=Assessments!$G$2, 2, 1))</f>
        <v>3</v>
      </c>
      <c r="K3" s="27">
        <f t="shared" si="0"/>
        <v>73.32352941176471</v>
      </c>
      <c r="L3" s="29">
        <f t="shared" si="1"/>
        <v>4.0735294117647056</v>
      </c>
      <c r="M3" s="29">
        <f t="shared" si="2"/>
        <v>4.0735294117647056</v>
      </c>
      <c r="N3" s="29">
        <f t="shared" si="3"/>
        <v>56.699999999999996</v>
      </c>
      <c r="O3" s="29">
        <f t="shared" si="4"/>
        <v>12.15</v>
      </c>
      <c r="P3" s="29">
        <f t="shared" si="5"/>
        <v>12.15</v>
      </c>
      <c r="Q3" s="27">
        <f t="shared" si="6"/>
        <v>31.72972972972973</v>
      </c>
      <c r="R3" s="29">
        <f t="shared" si="7"/>
        <v>39.662162162162161</v>
      </c>
      <c r="S3" s="29">
        <f t="shared" si="8"/>
        <v>7.9324324324324325</v>
      </c>
      <c r="T3" s="29">
        <f t="shared" si="9"/>
        <v>31.72972972972973</v>
      </c>
      <c r="U3" s="29">
        <f t="shared" si="10"/>
        <v>39.662162162162161</v>
      </c>
      <c r="V3" s="29">
        <f t="shared" si="11"/>
        <v>7.9324324324324325</v>
      </c>
      <c r="W3" s="32">
        <f t="shared" ref="W3:W14" si="12">(K3+N3+Q3+T3)/(0.9+0.7+0.4+0.4)</f>
        <v>80.617912029676745</v>
      </c>
      <c r="X3">
        <f>IF(W3&gt;=Assessments!$G$2*1.2, 3, IF(W3&gt;=Assessments!$G$2, 2, 1))</f>
        <v>3</v>
      </c>
      <c r="Y3" s="29">
        <f t="shared" ref="Y3:Y14" si="13">(L3+O3+R3+U3)/(0.05+0.15+0.5+0.5)</f>
        <v>79.623211446740854</v>
      </c>
      <c r="Z3">
        <f>IF(Y3&gt;=Assessments!$G$2*1.2, 3, IF(Y3&gt;=Assessments!$G$2, 2, 1))</f>
        <v>3</v>
      </c>
      <c r="AA3" s="29">
        <f t="shared" ref="AA3:AA14" si="14">(M3+P3+S3+V3)/(0.05+0.15+0.1+0.1)</f>
        <v>80.220985691573929</v>
      </c>
      <c r="AB3">
        <f>IF(AA3&gt;=Assessments!$G$2*1.2, 3, IF(AA3&gt;=Assessments!$G$2, 2, 1))</f>
        <v>3</v>
      </c>
      <c r="AC3" s="27">
        <f>((COs!$E$2 * C3 + COs!$E$3 * E3 + COs!$E$4 * G3 + COs!$E$5 * I3) / (COs!$E$2 * Assessments!$B$2 * Assessments!$C$2 + COs!$E$3 * Assessments!$B$3 * Assessments!$D$3 + COs!$E$4 * Assessments!$B$4 * Assessments!$E$4 + COs!$E$5 * Assessments!$B$5 * Assessments!$F$5))</f>
        <v>65.025882352941167</v>
      </c>
      <c r="AD3" s="28">
        <f>IF(AC3&gt;=Assessments!$G$2*1.2, 3, IF(AC3&gt;=Assessments!$G$2, 2, 1))</f>
        <v>2</v>
      </c>
      <c r="AE3" s="27">
        <f>((COs!$E$2 * C3 + COs!$E$3 * E3 + COs!$E$4 * G3 + COs!$E$5 * I3) / (COs!$E$2 * Assessments!$B$2 * Assessments!$C$2 + COs!$E$3 * Assessments!$B$3 * Assessments!$D$3 + COs!$E$4 * Assessments!$B$4 * Assessments!$E$4 + COs!$E$5 * Assessments!$B$5 * Assessments!$F$5))</f>
        <v>65.025882352941167</v>
      </c>
      <c r="AF3" s="28">
        <f>IF(AE3&gt;=Assessments!$G$2*1.2, 3, IF(AE3&gt;=Assessments!$G$2, 2, 1))</f>
        <v>2</v>
      </c>
      <c r="AG3" s="29">
        <f>((COs!$G$2 * C3 + COs!$G$3 * E3 + COs!$G$4 * G3 + COs!$G$5 * I3) / (COs!$G$2 * Assessments!$B$2 * Assessments!$C$2 + COs!$G$3 * Assessments!$B$3 * Assessments!$D$3 + COs!$G$4 * Assessments!$B$4 * Assessments!$E$4 + COs!$G$5 * Assessments!$B$5 * Assessments!$F$5))</f>
        <v>61.395109395109394</v>
      </c>
      <c r="AH3" s="28">
        <f>IF(AG3&gt;=Assessments!$G$2*1.2, 3, IF(AG3&gt;=Assessments!$G$2, 2, 1))</f>
        <v>1</v>
      </c>
      <c r="AI3" s="29">
        <f>((COs!$H$2 * C3 + COs!$H$3 * E3 + COs!$H$4 * G3 + COs!$H$5 * I3) / (COs!$H$2 * Assessments!$B$2 * Assessments!$C$2 + COs!$H$3 * Assessments!$B$3 * Assessments!$D$3 + COs!$H$4 * Assessments!$B$4 * Assessments!$E$4 + COs!$H$5 * Assessments!$B$5 * Assessments!$F$5))</f>
        <v>36.507835566659089</v>
      </c>
      <c r="AJ3" s="28">
        <f>IF(AI3&gt;=Assessments!$G$2*1.2, 3, IF(AI3&gt;=Assessments!$G$2, 2, 1))</f>
        <v>1</v>
      </c>
      <c r="AK3" s="29">
        <f>((COs!$I$2 * C3 + COs!$I$3 * E3 + COs!$I$4 * G3 + COs!$I$5 * I3) / (COs!$I$2 * Assessments!$B$2 * Assessments!$C$2 + COs!$I$3 * Assessments!$B$3 * Assessments!$D$3 + COs!$I$4 * Assessments!$B$4 * Assessments!$E$4 + COs!$I$5 * Assessments!$B$5 * Assessments!$F$5))</f>
        <v>64.925490196078428</v>
      </c>
      <c r="AL3" s="28">
        <f>IF(AK3&gt;=Assessments!$G$2*1.2, 3, IF(AK3&gt;=Assessments!$G$2, 2, 1))</f>
        <v>1</v>
      </c>
      <c r="AM3" s="29">
        <f>((COs!$J$2 * C3 + COs!$J$3 * E3 + COs!$J$4 * G3 + COs!$J$5 * I3) / (COs!$J$2 * Assessments!$B$2 * Assessments!$C$2 + COs!$J$3 * Assessments!$B$3 * Assessments!$D$3 + COs!$J$4 * Assessments!$B$4 * Assessments!$E$4 + COs!$J$5 * Assessments!$B$5 * Assessments!$F$5))</f>
        <v>26.441441441441441</v>
      </c>
      <c r="AN3" s="28">
        <f>IF(AM3&gt;=Assessments!$G$2*1.2, 3, IF(AM3&gt;=Assessments!$G$2, 2, 1))</f>
        <v>1</v>
      </c>
      <c r="AO3" s="29">
        <f>((COs!$K$2 * C3 + COs!$K$3 * E3 + COs!$K$4 * G3 + COs!$K$5 * I3) / (COs!$K$2 * Assessments!$B$2 * Assessments!$C$2 + COs!$K$3 * Assessments!$B$3 * Assessments!$D$3 + COs!$K$4 * Assessments!$B$4 * Assessments!$E$4 + COs!$K$5 * Assessments!$B$5 * Assessments!$F$5))</f>
        <v>26.441441441441441</v>
      </c>
      <c r="AP3" s="28">
        <f>IF(AO3&gt;=Assessments!$G$2*1.2, 3, IF(AO3&gt;=Assessments!$G$2, 2, 1))</f>
        <v>1</v>
      </c>
      <c r="AQ3" s="29">
        <f>((COs!$L$2 * C3 + COs!$L$3 * E3 + COs!$L$4 * G3 + COs!$L$5 * I3) / (COs!$L$2 * Assessments!$B$2 * Assessments!$C$2 + COs!$L$3 * Assessments!$B$3 * Assessments!$D$3 + COs!$L$4 * Assessments!$B$4 * Assessments!$E$4 + COs!$L$5 * Assessments!$B$5 * Assessments!$F$5))</f>
        <v>35.255255255255257</v>
      </c>
      <c r="AR3" s="28">
        <f>IF(AQ3&gt;=Assessments!$G$2*1.2, 3, IF(AQ3&gt;=Assessments!$G$2, 2, 1))</f>
        <v>1</v>
      </c>
      <c r="AS3" s="29">
        <f>((COs!$M$2 * C3 + COs!$M$3 * E3 + COs!$M$4 * G3 + COs!$M$5 * I3) / (COs!$M$2 * Assessments!$B$2 * Assessments!$C$2 + COs!$M$3 * Assessments!$B$3 * Assessments!$D$3 + COs!$M$4 * Assessments!$B$4 * Assessments!$E$4 + COs!$M$5 * Assessments!$B$5 * Assessments!$F$5))</f>
        <v>35.255255255255257</v>
      </c>
      <c r="AT3" s="28">
        <f>IF(AS3&gt;=Assessments!$G$2*1.2, 3, IF(AS3&gt;=Assessments!$G$2, 2, 1))</f>
        <v>1</v>
      </c>
      <c r="AU3" s="29">
        <f>((COs!$N$2 * C3 + COs!$N$3 * E3 + COs!$N$4 * G3 + COs!$N$5 * I3) / (COs!$N$2 * Assessments!$B$2 * Assessments!$C$2 + COs!$N$3 * Assessments!$B$3 * Assessments!$D$3 + COs!$N$4 * Assessments!$B$4 * Assessments!$E$4 + COs!$N$5 * Assessments!$B$5 * Assessments!$F$5))</f>
        <v>49.427092250621662</v>
      </c>
      <c r="AV3" s="28">
        <f>IF(AU3&gt;=Assessments!$G$2*1.2, 3, IF(AU3&gt;=Assessments!$G$2, 2, 1))</f>
        <v>1</v>
      </c>
      <c r="AW3" s="29">
        <f>((COs!$O$2 * C3 + COs!$O$3 * E3 + COs!$O$4 * G3 + COs!$O$5 * I3) / (COs!$O$2 * Assessments!$B$2 * Assessments!$C$2 + COs!$O$3 * Assessments!$B$3 * Assessments!$D$3 + COs!$O$4 * Assessments!$B$4 * Assessments!$E$4 + COs!$O$5 * Assessments!$B$5 * Assessments!$F$5))</f>
        <v>36.046914839367666</v>
      </c>
      <c r="AX3" s="28">
        <f>IF(AW3&gt;=Assessments!$G$2*1.2, 3, IF(AW3&gt;=Assessments!$G$2, 2, 1))</f>
        <v>1</v>
      </c>
      <c r="AY3" s="29">
        <f>((COs!$P$2 * C3 + COs!$P$3 * E3 + COs!$P$4 * G3 + COs!$P$5 * I3) / (COs!$P$2 * Assessments!$B$2 * Assessments!$C$2 + COs!$P$3 * Assessments!$B$3 * Assessments!$D$3 + COs!$P$4 * Assessments!$B$4 * Assessments!$E$4 + COs!$P$5 * Assessments!$B$5 * Assessments!$F$5))</f>
        <v>31.72972972972973</v>
      </c>
      <c r="AZ3" s="28">
        <f>IF(AY3&gt;=Assessments!$G$2*1.2, 3, IF(AY3&gt;=Assessments!$G$2, 2, 1))</f>
        <v>1</v>
      </c>
      <c r="BA3" s="30"/>
      <c r="BB3" s="30"/>
    </row>
    <row r="4" spans="1:54" x14ac:dyDescent="0.25">
      <c r="A4" s="26" t="str">
        <f>'IA Marks'!B5</f>
        <v>22BSR16006</v>
      </c>
      <c r="B4" s="26" t="str">
        <f>'IA Marks'!C5</f>
        <v>PRERANA IYENGAR K L</v>
      </c>
      <c r="C4" s="27">
        <f>('Componentwise marks'!D5 + 'Componentwise marks'!H5 + 'Componentwise marks'!L5 + 'Componentwise marks'!P5 + 'Componentwise marks'!T5) / ( (Assessments!$C$2*Assessments!$B$2) + (Assessments!$C$3*Assessments!$B$3) + (Assessments!$C$4*Assessments!$B$4) + (Assessments!$C$5*Assessments!$B$5) + (Assessments!$C$6*Assessments!$B$6)) * 100</f>
        <v>93.921568627450966</v>
      </c>
      <c r="D4" s="28">
        <f>IF(C4&gt;=Assessments!$G$2*1.2, 3, IF(C4&gt;=Assessments!$G$2, 2, 1))</f>
        <v>3</v>
      </c>
      <c r="E4" s="27">
        <f>('Componentwise marks'!E5 + 'Componentwise marks'!I5 + 'Componentwise marks'!M5 + 'Componentwise marks'!Q5 + 'Componentwise marks'!U5) / ( (Assessments!$D$2*Assessments!$B$2) + (Assessments!$D$3*Assessments!$B$3) + (Assessments!$D$4*Assessments!$B$4) + (Assessments!$D$5*Assessments!$B$5) + (Assessments!$D$6*Assessments!$B$6)) * 100</f>
        <v>90.533333333333317</v>
      </c>
      <c r="F4" s="28">
        <f>IF(E4&gt;=Assessments!$G$2*1.2, 3, IF(E4&gt;=Assessments!$G$2, 2, 1))</f>
        <v>3</v>
      </c>
      <c r="G4" s="27">
        <f>('Componentwise marks'!F5 + 'Componentwise marks'!J5 + 'Componentwise marks'!N5 + 'Componentwise marks'!R5 + 'Componentwise marks'!V5) / ( (Assessments!$E$2*Assessments!$B$2) + (Assessments!$E$3*Assessments!$B$3) + (Assessments!$E$4*Assessments!$B$4) + (Assessments!$E$5*Assessments!$B$5) + (Assessments!$E$6*Assessments!$B$6)) * 100</f>
        <v>92.162162162162161</v>
      </c>
      <c r="H4" s="28">
        <f>IF(G4&gt;=Assessments!$G$2*1.2, 3, IF(G4&gt;=Assessments!$G$2, 2, 1))</f>
        <v>3</v>
      </c>
      <c r="I4" s="27">
        <f>('Componentwise marks'!G5 + 'Componentwise marks'!K5 + 'Componentwise marks'!O5 + 'Componentwise marks'!S5 + 'Componentwise marks'!W5) / ( (Assessments!$F$2*Assessments!$B$2) + (Assessments!$F$3*Assessments!$B$3) + (Assessments!$F$4*Assessments!$B$4) + (Assessments!$F$5*Assessments!$B$5) + (Assessments!$F$6*Assessments!$B$6)) * 100</f>
        <v>92.162162162162161</v>
      </c>
      <c r="J4" s="28">
        <f>IF(I4&gt;=Assessments!$G$2*1.2, 3, IF(I4&gt;=Assessments!$G$2, 2, 1))</f>
        <v>3</v>
      </c>
      <c r="K4" s="27">
        <f t="shared" si="0"/>
        <v>84.52941176470587</v>
      </c>
      <c r="L4" s="29">
        <f t="shared" si="1"/>
        <v>4.6960784313725483</v>
      </c>
      <c r="M4" s="29">
        <f t="shared" si="2"/>
        <v>4.6960784313725483</v>
      </c>
      <c r="N4" s="29">
        <f t="shared" si="3"/>
        <v>63.373333333333321</v>
      </c>
      <c r="O4" s="29">
        <f t="shared" si="4"/>
        <v>13.579999999999997</v>
      </c>
      <c r="P4" s="29">
        <f t="shared" si="5"/>
        <v>13.579999999999997</v>
      </c>
      <c r="Q4" s="27">
        <f t="shared" si="6"/>
        <v>36.864864864864863</v>
      </c>
      <c r="R4" s="29">
        <f t="shared" si="7"/>
        <v>46.081081081081081</v>
      </c>
      <c r="S4" s="29">
        <f t="shared" si="8"/>
        <v>9.2162162162162158</v>
      </c>
      <c r="T4" s="29">
        <f t="shared" si="9"/>
        <v>36.864864864864863</v>
      </c>
      <c r="U4" s="29">
        <f t="shared" si="10"/>
        <v>46.081081081081081</v>
      </c>
      <c r="V4" s="29">
        <f t="shared" si="11"/>
        <v>9.2162162162162158</v>
      </c>
      <c r="W4" s="32">
        <f t="shared" si="12"/>
        <v>92.346864511570388</v>
      </c>
      <c r="X4">
        <f>IF(W4&gt;=Assessments!$G$2*1.2, 3, IF(W4&gt;=Assessments!$G$2, 2, 1))</f>
        <v>3</v>
      </c>
      <c r="Y4" s="29">
        <f t="shared" si="13"/>
        <v>92.031867161278925</v>
      </c>
      <c r="Z4">
        <f>IF(Y4&gt;=Assessments!$G$2*1.2, 3, IF(Y4&gt;=Assessments!$G$2, 2, 1))</f>
        <v>3</v>
      </c>
      <c r="AA4" s="29">
        <f t="shared" si="14"/>
        <v>91.771277159512451</v>
      </c>
      <c r="AB4">
        <f>IF(AA4&gt;=Assessments!$G$2*1.2, 3, IF(AA4&gt;=Assessments!$G$2, 2, 1))</f>
        <v>3</v>
      </c>
      <c r="AC4" s="27">
        <f>((COs!$E$2 * C4 + COs!$E$3 * E4 + COs!$E$4 * G4 + COs!$E$5 * I4) / (COs!$E$2 * Assessments!$B$2 * Assessments!$C$2 + COs!$E$3 * Assessments!$B$3 * Assessments!$D$3 + COs!$E$4 * Assessments!$B$4 * Assessments!$E$4 + COs!$E$5 * Assessments!$B$5 * Assessments!$F$5))</f>
        <v>74.053019607843126</v>
      </c>
      <c r="AD4" s="28">
        <f>IF(AC4&gt;=Assessments!$G$2*1.2, 3, IF(AC4&gt;=Assessments!$G$2, 2, 1))</f>
        <v>2</v>
      </c>
      <c r="AE4" s="27">
        <f>((COs!$E$2 * C4 + COs!$E$3 * E4 + COs!$E$4 * G4 + COs!$E$5 * I4) / (COs!$E$2 * Assessments!$B$2 * Assessments!$C$2 + COs!$E$3 * Assessments!$B$3 * Assessments!$D$3 + COs!$E$4 * Assessments!$B$4 * Assessments!$E$4 + COs!$E$5 * Assessments!$B$5 * Assessments!$F$5))</f>
        <v>74.053019607843126</v>
      </c>
      <c r="AF4" s="28">
        <f>IF(AE4&gt;=Assessments!$G$2*1.2, 3, IF(AE4&gt;=Assessments!$G$2, 2, 1))</f>
        <v>2</v>
      </c>
      <c r="AG4" s="29">
        <f>((COs!$G$2 * C4 + COs!$G$3 * E4 + COs!$G$4 * G4 + COs!$G$5 * I4) / (COs!$G$2 * Assessments!$B$2 * Assessments!$C$2 + COs!$G$3 * Assessments!$B$3 * Assessments!$D$3 + COs!$G$4 * Assessments!$B$4 * Assessments!$E$4 + COs!$G$5 * Assessments!$B$5 * Assessments!$F$5))</f>
        <v>69.288030888030875</v>
      </c>
      <c r="AH4" s="28">
        <f>IF(AG4&gt;=Assessments!$G$2*1.2, 3, IF(AG4&gt;=Assessments!$G$2, 2, 1))</f>
        <v>2</v>
      </c>
      <c r="AI4" s="29">
        <f>((COs!$H$2 * C4 + COs!$H$3 * E4 + COs!$H$4 * G4 + COs!$H$5 * I4) / (COs!$H$2 * Assessments!$B$2 * Assessments!$C$2 + COs!$H$3 * Assessments!$B$3 * Assessments!$D$3 + COs!$H$4 * Assessments!$B$4 * Assessments!$E$4 + COs!$H$5 * Assessments!$B$5 * Assessments!$F$5))</f>
        <v>42.332349155878568</v>
      </c>
      <c r="AJ4" s="28">
        <f>IF(AI4&gt;=Assessments!$G$2*1.2, 3, IF(AI4&gt;=Assessments!$G$2, 2, 1))</f>
        <v>1</v>
      </c>
      <c r="AK4" s="29">
        <f>((COs!$I$2 * C4 + COs!$I$3 * E4 + COs!$I$4 * G4 + COs!$I$5 * I4) / (COs!$I$2 * Assessments!$B$2 * Assessments!$C$2 + COs!$I$3 * Assessments!$B$3 * Assessments!$D$3 + COs!$I$4 * Assessments!$B$4 * Assessments!$E$4 + COs!$I$5 * Assessments!$B$5 * Assessments!$F$5))</f>
        <v>73.330196078431356</v>
      </c>
      <c r="AL4" s="28">
        <f>IF(AK4&gt;=Assessments!$G$2*1.2, 3, IF(AK4&gt;=Assessments!$G$2, 2, 1))</f>
        <v>2</v>
      </c>
      <c r="AM4" s="29">
        <f>((COs!$J$2 * C4 + COs!$J$3 * E4 + COs!$J$4 * G4 + COs!$J$5 * I4) / (COs!$J$2 * Assessments!$B$2 * Assessments!$C$2 + COs!$J$3 * Assessments!$B$3 * Assessments!$D$3 + COs!$J$4 * Assessments!$B$4 * Assessments!$E$4 + COs!$J$5 * Assessments!$B$5 * Assessments!$F$5))</f>
        <v>30.72072072072072</v>
      </c>
      <c r="AN4" s="28">
        <f>IF(AM4&gt;=Assessments!$G$2*1.2, 3, IF(AM4&gt;=Assessments!$G$2, 2, 1))</f>
        <v>1</v>
      </c>
      <c r="AO4" s="29">
        <f>((COs!$K$2 * C4 + COs!$K$3 * E4 + COs!$K$4 * G4 + COs!$K$5 * I4) / (COs!$K$2 * Assessments!$B$2 * Assessments!$C$2 + COs!$K$3 * Assessments!$B$3 * Assessments!$D$3 + COs!$K$4 * Assessments!$B$4 * Assessments!$E$4 + COs!$K$5 * Assessments!$B$5 * Assessments!$F$5))</f>
        <v>30.72072072072072</v>
      </c>
      <c r="AP4" s="28">
        <f>IF(AO4&gt;=Assessments!$G$2*1.2, 3, IF(AO4&gt;=Assessments!$G$2, 2, 1))</f>
        <v>1</v>
      </c>
      <c r="AQ4" s="29">
        <f>((COs!$L$2 * C4 + COs!$L$3 * E4 + COs!$L$4 * G4 + COs!$L$5 * I4) / (COs!$L$2 * Assessments!$B$2 * Assessments!$C$2 + COs!$L$3 * Assessments!$B$3 * Assessments!$D$3 + COs!$L$4 * Assessments!$B$4 * Assessments!$E$4 + COs!$L$5 * Assessments!$B$5 * Assessments!$F$5))</f>
        <v>40.960960960960961</v>
      </c>
      <c r="AR4" s="28">
        <f>IF(AQ4&gt;=Assessments!$G$2*1.2, 3, IF(AQ4&gt;=Assessments!$G$2, 2, 1))</f>
        <v>1</v>
      </c>
      <c r="AS4" s="29">
        <f>((COs!$M$2 * C4 + COs!$M$3 * E4 + COs!$M$4 * G4 + COs!$M$5 * I4) / (COs!$M$2 * Assessments!$B$2 * Assessments!$C$2 + COs!$M$3 * Assessments!$B$3 * Assessments!$D$3 + COs!$M$4 * Assessments!$B$4 * Assessments!$E$4 + COs!$M$5 * Assessments!$B$5 * Assessments!$F$5))</f>
        <v>40.960960960960961</v>
      </c>
      <c r="AT4" s="28">
        <f>IF(AS4&gt;=Assessments!$G$2*1.2, 3, IF(AS4&gt;=Assessments!$G$2, 2, 1))</f>
        <v>1</v>
      </c>
      <c r="AU4" s="29">
        <f>((COs!$N$2 * C4 + COs!$N$3 * E4 + COs!$N$4 * G4 + COs!$N$5 * I4) / (COs!$N$2 * Assessments!$B$2 * Assessments!$C$2 + COs!$N$3 * Assessments!$B$3 * Assessments!$D$3 + COs!$N$4 * Assessments!$B$4 * Assessments!$E$4 + COs!$N$5 * Assessments!$B$5 * Assessments!$F$5))</f>
        <v>56.909021238432999</v>
      </c>
      <c r="AV4" s="28">
        <f>IF(AU4&gt;=Assessments!$G$2*1.2, 3, IF(AU4&gt;=Assessments!$G$2, 2, 1))</f>
        <v>1</v>
      </c>
      <c r="AW4" s="29">
        <f>((COs!$O$2 * C4 + COs!$O$3 * E4 + COs!$O$4 * G4 + COs!$O$5 * I4) / (COs!$O$2 * Assessments!$B$2 * Assessments!$C$2 + COs!$O$3 * Assessments!$B$3 * Assessments!$D$3 + COs!$O$4 * Assessments!$B$4 * Assessments!$E$4 + COs!$O$5 * Assessments!$B$5 * Assessments!$F$5))</f>
        <v>41.61087880333163</v>
      </c>
      <c r="AX4" s="28">
        <f>IF(AW4&gt;=Assessments!$G$2*1.2, 3, IF(AW4&gt;=Assessments!$G$2, 2, 1))</f>
        <v>1</v>
      </c>
      <c r="AY4" s="29">
        <f>((COs!$P$2 * C4 + COs!$P$3 * E4 + COs!$P$4 * G4 + COs!$P$5 * I4) / (COs!$P$2 * Assessments!$B$2 * Assessments!$C$2 + COs!$P$3 * Assessments!$B$3 * Assessments!$D$3 + COs!$P$4 * Assessments!$B$4 * Assessments!$E$4 + COs!$P$5 * Assessments!$B$5 * Assessments!$F$5))</f>
        <v>36.864864864864863</v>
      </c>
      <c r="AZ4" s="28">
        <f>IF(AY4&gt;=Assessments!$G$2*1.2, 3, IF(AY4&gt;=Assessments!$G$2, 2, 1))</f>
        <v>1</v>
      </c>
      <c r="BA4" s="30"/>
      <c r="BB4" s="30"/>
    </row>
    <row r="5" spans="1:54" x14ac:dyDescent="0.25">
      <c r="A5" s="26" t="str">
        <f>'IA Marks'!B6</f>
        <v>22BSR16025</v>
      </c>
      <c r="B5" s="26" t="str">
        <f>'IA Marks'!C6</f>
        <v>DHARANESHWAR G</v>
      </c>
      <c r="C5" s="27">
        <f>('Componentwise marks'!D6 + 'Componentwise marks'!H6 + 'Componentwise marks'!L6 + 'Componentwise marks'!P6 + 'Componentwise marks'!T6) / ( (Assessments!$C$2*Assessments!$B$2) + (Assessments!$C$3*Assessments!$B$3) + (Assessments!$C$4*Assessments!$B$4) + (Assessments!$C$5*Assessments!$B$5) + (Assessments!$C$6*Assessments!$B$6)) * 100</f>
        <v>79.078431372549019</v>
      </c>
      <c r="D5" s="28">
        <f>IF(C5&gt;=Assessments!$G$2*1.2, 3, IF(C5&gt;=Assessments!$G$2, 2, 1))</f>
        <v>3</v>
      </c>
      <c r="E5" s="27">
        <f>('Componentwise marks'!E6 + 'Componentwise marks'!I6 + 'Componentwise marks'!M6 + 'Componentwise marks'!Q6 + 'Componentwise marks'!U6) / ( (Assessments!$D$2*Assessments!$B$2) + (Assessments!$D$3*Assessments!$B$3) + (Assessments!$D$4*Assessments!$B$4) + (Assessments!$D$5*Assessments!$B$5) + (Assessments!$D$6*Assessments!$B$6)) * 100</f>
        <v>76.173333333333332</v>
      </c>
      <c r="F5" s="28">
        <f>IF(E5&gt;=Assessments!$G$2*1.2, 3, IF(E5&gt;=Assessments!$G$2, 2, 1))</f>
        <v>2</v>
      </c>
      <c r="G5" s="27">
        <f>('Componentwise marks'!F6 + 'Componentwise marks'!J6 + 'Componentwise marks'!N6 + 'Componentwise marks'!R6 + 'Componentwise marks'!V6) / ( (Assessments!$E$2*Assessments!$B$2) + (Assessments!$E$3*Assessments!$B$3) + (Assessments!$E$4*Assessments!$B$4) + (Assessments!$E$5*Assessments!$B$5) + (Assessments!$E$6*Assessments!$B$6)) * 100</f>
        <v>76.13513513513513</v>
      </c>
      <c r="H5" s="28">
        <f>IF(G5&gt;=Assessments!$G$2*1.2, 3, IF(G5&gt;=Assessments!$G$2, 2, 1))</f>
        <v>2</v>
      </c>
      <c r="I5" s="27">
        <f>('Componentwise marks'!G6 + 'Componentwise marks'!K6 + 'Componentwise marks'!O6 + 'Componentwise marks'!S6 + 'Componentwise marks'!W6) / ( (Assessments!$F$2*Assessments!$B$2) + (Assessments!$F$3*Assessments!$B$3) + (Assessments!$F$4*Assessments!$B$4) + (Assessments!$F$5*Assessments!$B$5) + (Assessments!$F$6*Assessments!$B$6)) * 100</f>
        <v>76.13513513513513</v>
      </c>
      <c r="J5" s="28">
        <f>IF(I5&gt;=Assessments!$G$2*1.2, 3, IF(I5&gt;=Assessments!$G$2, 2, 1))</f>
        <v>2</v>
      </c>
      <c r="K5" s="27">
        <f t="shared" si="0"/>
        <v>71.170588235294119</v>
      </c>
      <c r="L5" s="29">
        <f t="shared" si="1"/>
        <v>3.9539215686274511</v>
      </c>
      <c r="M5" s="29">
        <f t="shared" si="2"/>
        <v>3.9539215686274511</v>
      </c>
      <c r="N5" s="29">
        <f t="shared" si="3"/>
        <v>53.321333333333328</v>
      </c>
      <c r="O5" s="29">
        <f t="shared" si="4"/>
        <v>11.426</v>
      </c>
      <c r="P5" s="29">
        <f t="shared" si="5"/>
        <v>11.426</v>
      </c>
      <c r="Q5" s="27">
        <f t="shared" si="6"/>
        <v>30.454054054054055</v>
      </c>
      <c r="R5" s="29">
        <f t="shared" si="7"/>
        <v>38.067567567567565</v>
      </c>
      <c r="S5" s="29">
        <f t="shared" si="8"/>
        <v>7.6135135135135137</v>
      </c>
      <c r="T5" s="29">
        <f t="shared" si="9"/>
        <v>30.454054054054055</v>
      </c>
      <c r="U5" s="29">
        <f t="shared" si="10"/>
        <v>38.067567567567565</v>
      </c>
      <c r="V5" s="29">
        <f t="shared" si="11"/>
        <v>7.6135135135135137</v>
      </c>
      <c r="W5" s="32">
        <f t="shared" si="12"/>
        <v>77.250012365306475</v>
      </c>
      <c r="X5">
        <f>IF(W5&gt;=Assessments!$G$2*1.2, 3, IF(W5&gt;=Assessments!$G$2, 2, 1))</f>
        <v>2</v>
      </c>
      <c r="Y5" s="29">
        <f t="shared" si="13"/>
        <v>76.262547253135494</v>
      </c>
      <c r="Z5">
        <f>IF(Y5&gt;=Assessments!$G$2*1.2, 3, IF(Y5&gt;=Assessments!$G$2, 2, 1))</f>
        <v>2</v>
      </c>
      <c r="AA5" s="29">
        <f t="shared" si="14"/>
        <v>76.517371489136195</v>
      </c>
      <c r="AB5">
        <f>IF(AA5&gt;=Assessments!$G$2*1.2, 3, IF(AA5&gt;=Assessments!$G$2, 2, 1))</f>
        <v>2</v>
      </c>
      <c r="AC5" s="27">
        <f>((COs!$E$2 * C5 + COs!$E$3 * E5 + COs!$E$4 * G5 + COs!$E$5 * I5) / (COs!$E$2 * Assessments!$B$2 * Assessments!$C$2 + COs!$E$3 * Assessments!$B$3 * Assessments!$D$3 + COs!$E$4 * Assessments!$B$4 * Assessments!$E$4 + COs!$E$5 * Assessments!$B$5 * Assessments!$F$5))</f>
        <v>62.3331137254902</v>
      </c>
      <c r="AD5" s="28">
        <f>IF(AC5&gt;=Assessments!$G$2*1.2, 3, IF(AC5&gt;=Assessments!$G$2, 2, 1))</f>
        <v>1</v>
      </c>
      <c r="AE5" s="27">
        <f>((COs!$E$2 * C5 + COs!$E$3 * E5 + COs!$E$4 * G5 + COs!$E$5 * I5) / (COs!$E$2 * Assessments!$B$2 * Assessments!$C$2 + COs!$E$3 * Assessments!$B$3 * Assessments!$D$3 + COs!$E$4 * Assessments!$B$4 * Assessments!$E$4 + COs!$E$5 * Assessments!$B$5 * Assessments!$F$5))</f>
        <v>62.3331137254902</v>
      </c>
      <c r="AF5" s="28">
        <f>IF(AE5&gt;=Assessments!$G$2*1.2, 3, IF(AE5&gt;=Assessments!$G$2, 2, 1))</f>
        <v>1</v>
      </c>
      <c r="AG5" s="29">
        <f>((COs!$G$2 * C5 + COs!$G$3 * E5 + COs!$G$4 * G5 + COs!$G$5 * I5) / (COs!$G$2 * Assessments!$B$2 * Assessments!$C$2 + COs!$G$3 * Assessments!$B$3 * Assessments!$D$3 + COs!$G$4 * Assessments!$B$4 * Assessments!$E$4 + COs!$G$5 * Assessments!$B$5 * Assessments!$F$5))</f>
        <v>58.029549549549543</v>
      </c>
      <c r="AH5" s="28">
        <f>IF(AG5&gt;=Assessments!$G$2*1.2, 3, IF(AG5&gt;=Assessments!$G$2, 2, 1))</f>
        <v>1</v>
      </c>
      <c r="AI5" s="29">
        <f>((COs!$H$2 * C5 + COs!$H$3 * E5 + COs!$H$4 * G5 + COs!$H$5 * I5) / (COs!$H$2 * Assessments!$B$2 * Assessments!$C$2 + COs!$H$3 * Assessments!$B$3 * Assessments!$D$3 + COs!$H$4 * Assessments!$B$4 * Assessments!$E$4 + COs!$H$5 * Assessments!$B$5 * Assessments!$F$5))</f>
        <v>35.141009917480503</v>
      </c>
      <c r="AJ5" s="28">
        <f>IF(AI5&gt;=Assessments!$G$2*1.2, 3, IF(AI5&gt;=Assessments!$G$2, 2, 1))</f>
        <v>1</v>
      </c>
      <c r="AK5" s="29">
        <f>((COs!$I$2 * C5 + COs!$I$3 * E5 + COs!$I$4 * G5 + COs!$I$5 * I5) / (COs!$I$2 * Assessments!$B$2 * Assessments!$C$2 + COs!$I$3 * Assessments!$B$3 * Assessments!$D$3 + COs!$I$4 * Assessments!$B$4 * Assessments!$E$4 + COs!$I$5 * Assessments!$B$5 * Assessments!$F$5))</f>
        <v>61.713359477124186</v>
      </c>
      <c r="AL5" s="28">
        <f>IF(AK5&gt;=Assessments!$G$2*1.2, 3, IF(AK5&gt;=Assessments!$G$2, 2, 1))</f>
        <v>1</v>
      </c>
      <c r="AM5" s="29">
        <f>((COs!$J$2 * C5 + COs!$J$3 * E5 + COs!$J$4 * G5 + COs!$J$5 * I5) / (COs!$J$2 * Assessments!$B$2 * Assessments!$C$2 + COs!$J$3 * Assessments!$B$3 * Assessments!$D$3 + COs!$J$4 * Assessments!$B$4 * Assessments!$E$4 + COs!$J$5 * Assessments!$B$5 * Assessments!$F$5))</f>
        <v>25.378378378378375</v>
      </c>
      <c r="AN5" s="28">
        <f>IF(AM5&gt;=Assessments!$G$2*1.2, 3, IF(AM5&gt;=Assessments!$G$2, 2, 1))</f>
        <v>1</v>
      </c>
      <c r="AO5" s="29">
        <f>((COs!$K$2 * C5 + COs!$K$3 * E5 + COs!$K$4 * G5 + COs!$K$5 * I5) / (COs!$K$2 * Assessments!$B$2 * Assessments!$C$2 + COs!$K$3 * Assessments!$B$3 * Assessments!$D$3 + COs!$K$4 * Assessments!$B$4 * Assessments!$E$4 + COs!$K$5 * Assessments!$B$5 * Assessments!$F$5))</f>
        <v>25.378378378378375</v>
      </c>
      <c r="AP5" s="28">
        <f>IF(AO5&gt;=Assessments!$G$2*1.2, 3, IF(AO5&gt;=Assessments!$G$2, 2, 1))</f>
        <v>1</v>
      </c>
      <c r="AQ5" s="29">
        <f>((COs!$L$2 * C5 + COs!$L$3 * E5 + COs!$L$4 * G5 + COs!$L$5 * I5) / (COs!$L$2 * Assessments!$B$2 * Assessments!$C$2 + COs!$L$3 * Assessments!$B$3 * Assessments!$D$3 + COs!$L$4 * Assessments!$B$4 * Assessments!$E$4 + COs!$L$5 * Assessments!$B$5 * Assessments!$F$5))</f>
        <v>33.837837837837839</v>
      </c>
      <c r="AR5" s="28">
        <f>IF(AQ5&gt;=Assessments!$G$2*1.2, 3, IF(AQ5&gt;=Assessments!$G$2, 2, 1))</f>
        <v>1</v>
      </c>
      <c r="AS5" s="29">
        <f>((COs!$M$2 * C5 + COs!$M$3 * E5 + COs!$M$4 * G5 + COs!$M$5 * I5) / (COs!$M$2 * Assessments!$B$2 * Assessments!$C$2 + COs!$M$3 * Assessments!$B$3 * Assessments!$D$3 + COs!$M$4 * Assessments!$B$4 * Assessments!$E$4 + COs!$M$5 * Assessments!$B$5 * Assessments!$F$5))</f>
        <v>33.837837837837839</v>
      </c>
      <c r="AT5" s="28">
        <f>IF(AS5&gt;=Assessments!$G$2*1.2, 3, IF(AS5&gt;=Assessments!$G$2, 2, 1))</f>
        <v>1</v>
      </c>
      <c r="AU5" s="29">
        <f>((COs!$N$2 * C5 + COs!$N$3 * E5 + COs!$N$4 * G5 + COs!$N$5 * I5) / (COs!$N$2 * Assessments!$B$2 * Assessments!$C$2 + COs!$N$3 * Assessments!$B$3 * Assessments!$D$3 + COs!$N$4 * Assessments!$B$4 * Assessments!$E$4 + COs!$N$5 * Assessments!$B$5 * Assessments!$F$5))</f>
        <v>47.460061690649923</v>
      </c>
      <c r="AV5" s="28">
        <f>IF(AU5&gt;=Assessments!$G$2*1.2, 3, IF(AU5&gt;=Assessments!$G$2, 2, 1))</f>
        <v>1</v>
      </c>
      <c r="AW5" s="29">
        <f>((COs!$O$2 * C5 + COs!$O$3 * E5 + COs!$O$4 * G5 + COs!$O$5 * I5) / (COs!$O$2 * Assessments!$B$2 * Assessments!$C$2 + COs!$O$3 * Assessments!$B$3 * Assessments!$D$3 + COs!$O$4 * Assessments!$B$4 * Assessments!$E$4 + COs!$O$5 * Assessments!$B$5 * Assessments!$F$5))</f>
        <v>34.479170491245966</v>
      </c>
      <c r="AX5" s="28">
        <f>IF(AW5&gt;=Assessments!$G$2*1.2, 3, IF(AW5&gt;=Assessments!$G$2, 2, 1))</f>
        <v>1</v>
      </c>
      <c r="AY5" s="29">
        <f>((COs!$P$2 * C5 + COs!$P$3 * E5 + COs!$P$4 * G5 + COs!$P$5 * I5) / (COs!$P$2 * Assessments!$B$2 * Assessments!$C$2 + COs!$P$3 * Assessments!$B$3 * Assessments!$D$3 + COs!$P$4 * Assessments!$B$4 * Assessments!$E$4 + COs!$P$5 * Assessments!$B$5 * Assessments!$F$5))</f>
        <v>30.454054054054051</v>
      </c>
      <c r="AZ5" s="28">
        <f>IF(AY5&gt;=Assessments!$G$2*1.2, 3, IF(AY5&gt;=Assessments!$G$2, 2, 1))</f>
        <v>1</v>
      </c>
      <c r="BA5" s="30"/>
      <c r="BB5" s="30"/>
    </row>
    <row r="6" spans="1:54" x14ac:dyDescent="0.25">
      <c r="A6" s="26" t="str">
        <f>'IA Marks'!B7</f>
        <v>22BSR16028</v>
      </c>
      <c r="B6" s="26" t="str">
        <f>'IA Marks'!C7</f>
        <v>ARDRA R</v>
      </c>
      <c r="C6" s="27">
        <f>('Componentwise marks'!D7 + 'Componentwise marks'!H7 + 'Componentwise marks'!L7 + 'Componentwise marks'!P7 + 'Componentwise marks'!T7) / ( (Assessments!$C$2*Assessments!$B$2) + (Assessments!$C$3*Assessments!$B$3) + (Assessments!$C$4*Assessments!$B$4) + (Assessments!$C$5*Assessments!$B$5) + (Assessments!$C$6*Assessments!$B$6)) * 100</f>
        <v>84.745098039215677</v>
      </c>
      <c r="D6" s="28">
        <f>IF(C6&gt;=Assessments!$G$2*1.2, 3, IF(C6&gt;=Assessments!$G$2, 2, 1))</f>
        <v>3</v>
      </c>
      <c r="E6" s="27">
        <f>('Componentwise marks'!E7 + 'Componentwise marks'!I7 + 'Componentwise marks'!M7 + 'Componentwise marks'!Q7 + 'Componentwise marks'!U7) / ( (Assessments!$D$2*Assessments!$B$2) + (Assessments!$D$3*Assessments!$B$3) + (Assessments!$D$4*Assessments!$B$4) + (Assessments!$D$5*Assessments!$B$5) + (Assessments!$D$6*Assessments!$B$6)) * 100</f>
        <v>82.16</v>
      </c>
      <c r="F6" s="28">
        <f>IF(E6&gt;=Assessments!$G$2*1.2, 3, IF(E6&gt;=Assessments!$G$2, 2, 1))</f>
        <v>3</v>
      </c>
      <c r="G6" s="27">
        <f>('Componentwise marks'!F7 + 'Componentwise marks'!J7 + 'Componentwise marks'!N7 + 'Componentwise marks'!R7 + 'Componentwise marks'!V7) / ( (Assessments!$E$2*Assessments!$B$2) + (Assessments!$E$3*Assessments!$B$3) + (Assessments!$E$4*Assessments!$B$4) + (Assessments!$E$5*Assessments!$B$5) + (Assessments!$E$6*Assessments!$B$6)) * 100</f>
        <v>84.27027027027026</v>
      </c>
      <c r="H6" s="28">
        <f>IF(G6&gt;=Assessments!$G$2*1.2, 3, IF(G6&gt;=Assessments!$G$2, 2, 1))</f>
        <v>3</v>
      </c>
      <c r="I6" s="27">
        <f>('Componentwise marks'!G7 + 'Componentwise marks'!K7 + 'Componentwise marks'!O7 + 'Componentwise marks'!S7 + 'Componentwise marks'!W7) / ( (Assessments!$F$2*Assessments!$B$2) + (Assessments!$F$3*Assessments!$B$3) + (Assessments!$F$4*Assessments!$B$4) + (Assessments!$F$5*Assessments!$B$5) + (Assessments!$F$6*Assessments!$B$6)) * 100</f>
        <v>84.27027027027026</v>
      </c>
      <c r="J6" s="28">
        <f>IF(I6&gt;=Assessments!$G$2*1.2, 3, IF(I6&gt;=Assessments!$G$2, 2, 1))</f>
        <v>3</v>
      </c>
      <c r="K6" s="27">
        <f t="shared" si="0"/>
        <v>76.270588235294113</v>
      </c>
      <c r="L6" s="29">
        <f t="shared" si="1"/>
        <v>4.2372549019607844</v>
      </c>
      <c r="M6" s="29">
        <f t="shared" si="2"/>
        <v>4.2372549019607844</v>
      </c>
      <c r="N6" s="29">
        <f t="shared" si="3"/>
        <v>57.511999999999993</v>
      </c>
      <c r="O6" s="29">
        <f t="shared" si="4"/>
        <v>12.324</v>
      </c>
      <c r="P6" s="29">
        <f t="shared" si="5"/>
        <v>12.324</v>
      </c>
      <c r="Q6" s="27">
        <f t="shared" si="6"/>
        <v>33.708108108108107</v>
      </c>
      <c r="R6" s="29">
        <f t="shared" si="7"/>
        <v>42.13513513513513</v>
      </c>
      <c r="S6" s="29">
        <f t="shared" si="8"/>
        <v>8.4270270270270267</v>
      </c>
      <c r="T6" s="29">
        <f t="shared" si="9"/>
        <v>33.708108108108107</v>
      </c>
      <c r="U6" s="29">
        <f t="shared" si="10"/>
        <v>42.13513513513513</v>
      </c>
      <c r="V6" s="29">
        <f t="shared" si="11"/>
        <v>8.4270270270270267</v>
      </c>
      <c r="W6" s="32">
        <f t="shared" si="12"/>
        <v>83.832835188129295</v>
      </c>
      <c r="X6">
        <f>IF(W6&gt;=Assessments!$G$2*1.2, 3, IF(W6&gt;=Assessments!$G$2, 2, 1))</f>
        <v>3</v>
      </c>
      <c r="Y6" s="29">
        <f t="shared" si="13"/>
        <v>84.026270976859209</v>
      </c>
      <c r="Z6">
        <f>IF(Y6&gt;=Assessments!$G$2*1.2, 3, IF(Y6&gt;=Assessments!$G$2, 2, 1))</f>
        <v>3</v>
      </c>
      <c r="AA6" s="29">
        <f t="shared" si="14"/>
        <v>83.538272390037093</v>
      </c>
      <c r="AB6">
        <f>IF(AA6&gt;=Assessments!$G$2*1.2, 3, IF(AA6&gt;=Assessments!$G$2, 2, 1))</f>
        <v>3</v>
      </c>
      <c r="AC6" s="27">
        <f>((COs!$E$2 * C6 + COs!$E$3 * E6 + COs!$E$4 * G6 + COs!$E$5 * I6) / (COs!$E$2 * Assessments!$B$2 * Assessments!$C$2 + COs!$E$3 * Assessments!$B$3 * Assessments!$D$3 + COs!$E$4 * Assessments!$B$4 * Assessments!$E$4 + COs!$E$5 * Assessments!$B$5 * Assessments!$F$5))</f>
        <v>66.968847058823528</v>
      </c>
      <c r="AD6" s="28">
        <f>IF(AC6&gt;=Assessments!$G$2*1.2, 3, IF(AC6&gt;=Assessments!$G$2, 2, 1))</f>
        <v>2</v>
      </c>
      <c r="AE6" s="27">
        <f>((COs!$E$2 * C6 + COs!$E$3 * E6 + COs!$E$4 * G6 + COs!$E$5 * I6) / (COs!$E$2 * Assessments!$B$2 * Assessments!$C$2 + COs!$E$3 * Assessments!$B$3 * Assessments!$D$3 + COs!$E$4 * Assessments!$B$4 * Assessments!$E$4 + COs!$E$5 * Assessments!$B$5 * Assessments!$F$5))</f>
        <v>66.968847058823528</v>
      </c>
      <c r="AF6" s="28">
        <f>IF(AE6&gt;=Assessments!$G$2*1.2, 3, IF(AE6&gt;=Assessments!$G$2, 2, 1))</f>
        <v>2</v>
      </c>
      <c r="AG6" s="29">
        <f>((COs!$G$2 * C6 + COs!$G$3 * E6 + COs!$G$4 * G6 + COs!$G$5 * I6) / (COs!$G$2 * Assessments!$B$2 * Assessments!$C$2 + COs!$G$3 * Assessments!$B$3 * Assessments!$D$3 + COs!$G$4 * Assessments!$B$4 * Assessments!$E$4 + COs!$G$5 * Assessments!$B$5 * Assessments!$F$5))</f>
        <v>63.000051480051468</v>
      </c>
      <c r="AH6" s="28">
        <f>IF(AG6&gt;=Assessments!$G$2*1.2, 3, IF(AG6&gt;=Assessments!$G$2, 2, 1))</f>
        <v>1</v>
      </c>
      <c r="AI6" s="29">
        <f>((COs!$H$2 * C6 + COs!$H$3 * E6 + COs!$H$4 * G6 + COs!$H$5 * I6) / (COs!$H$2 * Assessments!$B$2 * Assessments!$C$2 + COs!$H$3 * Assessments!$B$3 * Assessments!$D$3 + COs!$H$4 * Assessments!$B$4 * Assessments!$E$4 + COs!$H$5 * Assessments!$B$5 * Assessments!$F$5))</f>
        <v>38.577818154288742</v>
      </c>
      <c r="AJ6" s="28">
        <f>IF(AI6&gt;=Assessments!$G$2*1.2, 3, IF(AI6&gt;=Assessments!$G$2, 2, 1))</f>
        <v>1</v>
      </c>
      <c r="AK6" s="29">
        <f>((COs!$I$2 * C6 + COs!$I$3 * E6 + COs!$I$4 * G6 + COs!$I$5 * I6) / (COs!$I$2 * Assessments!$B$2 * Assessments!$C$2 + COs!$I$3 * Assessments!$B$3 * Assessments!$D$3 + COs!$I$4 * Assessments!$B$4 * Assessments!$E$4 + COs!$I$5 * Assessments!$B$5 * Assessments!$F$5))</f>
        <v>66.41735947712418</v>
      </c>
      <c r="AL6" s="28">
        <f>IF(AK6&gt;=Assessments!$G$2*1.2, 3, IF(AK6&gt;=Assessments!$G$2, 2, 1))</f>
        <v>2</v>
      </c>
      <c r="AM6" s="29">
        <f>((COs!$J$2 * C6 + COs!$J$3 * E6 + COs!$J$4 * G6 + COs!$J$5 * I6) / (COs!$J$2 * Assessments!$B$2 * Assessments!$C$2 + COs!$J$3 * Assessments!$B$3 * Assessments!$D$3 + COs!$J$4 * Assessments!$B$4 * Assessments!$E$4 + COs!$J$5 * Assessments!$B$5 * Assessments!$F$5))</f>
        <v>28.090090090090087</v>
      </c>
      <c r="AN6" s="28">
        <f>IF(AM6&gt;=Assessments!$G$2*1.2, 3, IF(AM6&gt;=Assessments!$G$2, 2, 1))</f>
        <v>1</v>
      </c>
      <c r="AO6" s="29">
        <f>((COs!$K$2 * C6 + COs!$K$3 * E6 + COs!$K$4 * G6 + COs!$K$5 * I6) / (COs!$K$2 * Assessments!$B$2 * Assessments!$C$2 + COs!$K$3 * Assessments!$B$3 * Assessments!$D$3 + COs!$K$4 * Assessments!$B$4 * Assessments!$E$4 + COs!$K$5 * Assessments!$B$5 * Assessments!$F$5))</f>
        <v>28.090090090090087</v>
      </c>
      <c r="AP6" s="28">
        <f>IF(AO6&gt;=Assessments!$G$2*1.2, 3, IF(AO6&gt;=Assessments!$G$2, 2, 1))</f>
        <v>1</v>
      </c>
      <c r="AQ6" s="29">
        <f>((COs!$L$2 * C6 + COs!$L$3 * E6 + COs!$L$4 * G6 + COs!$L$5 * I6) / (COs!$L$2 * Assessments!$B$2 * Assessments!$C$2 + COs!$L$3 * Assessments!$B$3 * Assessments!$D$3 + COs!$L$4 * Assessments!$B$4 * Assessments!$E$4 + COs!$L$5 * Assessments!$B$5 * Assessments!$F$5))</f>
        <v>37.453453453453449</v>
      </c>
      <c r="AR6" s="28">
        <f>IF(AQ6&gt;=Assessments!$G$2*1.2, 3, IF(AQ6&gt;=Assessments!$G$2, 2, 1))</f>
        <v>1</v>
      </c>
      <c r="AS6" s="29">
        <f>((COs!$M$2 * C6 + COs!$M$3 * E6 + COs!$M$4 * G6 + COs!$M$5 * I6) / (COs!$M$2 * Assessments!$B$2 * Assessments!$C$2 + COs!$M$3 * Assessments!$B$3 * Assessments!$D$3 + COs!$M$4 * Assessments!$B$4 * Assessments!$E$4 + COs!$M$5 * Assessments!$B$5 * Assessments!$F$5))</f>
        <v>37.453453453453449</v>
      </c>
      <c r="AT6" s="28">
        <f>IF(AS6&gt;=Assessments!$G$2*1.2, 3, IF(AS6&gt;=Assessments!$G$2, 2, 1))</f>
        <v>1</v>
      </c>
      <c r="AU6" s="29">
        <f>((COs!$N$2 * C6 + COs!$N$3 * E6 + COs!$N$4 * G6 + COs!$N$5 * I6) / (COs!$N$2 * Assessments!$B$2 * Assessments!$C$2 + COs!$N$3 * Assessments!$B$3 * Assessments!$D$3 + COs!$N$4 * Assessments!$B$4 * Assessments!$E$4 + COs!$N$5 * Assessments!$B$5 * Assessments!$F$5))</f>
        <v>51.739590450178682</v>
      </c>
      <c r="AV6" s="28">
        <f>IF(AU6&gt;=Assessments!$G$2*1.2, 3, IF(AU6&gt;=Assessments!$G$2, 2, 1))</f>
        <v>1</v>
      </c>
      <c r="AW6" s="29">
        <f>((COs!$O$2 * C6 + COs!$O$3 * E6 + COs!$O$4 * G6 + COs!$O$5 * I6) / (COs!$O$2 * Assessments!$B$2 * Assessments!$C$2 + COs!$O$3 * Assessments!$B$3 * Assessments!$D$3 + COs!$O$4 * Assessments!$B$4 * Assessments!$E$4 + COs!$O$5 * Assessments!$B$5 * Assessments!$F$5))</f>
        <v>38.000856705762367</v>
      </c>
      <c r="AX6" s="28">
        <f>IF(AW6&gt;=Assessments!$G$2*1.2, 3, IF(AW6&gt;=Assessments!$G$2, 2, 1))</f>
        <v>1</v>
      </c>
      <c r="AY6" s="29">
        <f>((COs!$P$2 * C6 + COs!$P$3 * E6 + COs!$P$4 * G6 + COs!$P$5 * I6) / (COs!$P$2 * Assessments!$B$2 * Assessments!$C$2 + COs!$P$3 * Assessments!$B$3 * Assessments!$D$3 + COs!$P$4 * Assessments!$B$4 * Assessments!$E$4 + COs!$P$5 * Assessments!$B$5 * Assessments!$F$5))</f>
        <v>33.708108108108107</v>
      </c>
      <c r="AZ6" s="28">
        <f>IF(AY6&gt;=Assessments!$G$2*1.2, 3, IF(AY6&gt;=Assessments!$G$2, 2, 1))</f>
        <v>1</v>
      </c>
      <c r="BA6" s="30"/>
      <c r="BB6" s="30"/>
    </row>
    <row r="7" spans="1:54" x14ac:dyDescent="0.25">
      <c r="A7" s="26" t="str">
        <f>'IA Marks'!B8</f>
        <v>22BSR16030</v>
      </c>
      <c r="B7" s="26" t="str">
        <f>'IA Marks'!C8</f>
        <v>KRUTHIKA S</v>
      </c>
      <c r="C7" s="27">
        <f>('Componentwise marks'!D8 + 'Componentwise marks'!H8 + 'Componentwise marks'!L8 + 'Componentwise marks'!P8 + 'Componentwise marks'!T8) / ( (Assessments!$C$2*Assessments!$B$2) + (Assessments!$C$3*Assessments!$B$3) + (Assessments!$C$4*Assessments!$B$4) + (Assessments!$C$5*Assessments!$B$5) + (Assessments!$C$6*Assessments!$B$6)) * 100</f>
        <v>76.705882352941174</v>
      </c>
      <c r="D7" s="28">
        <f>IF(C7&gt;=Assessments!$G$2*1.2, 3, IF(C7&gt;=Assessments!$G$2, 2, 1))</f>
        <v>2</v>
      </c>
      <c r="E7" s="27">
        <f>('Componentwise marks'!E8 + 'Componentwise marks'!I8 + 'Componentwise marks'!M8 + 'Componentwise marks'!Q8 + 'Componentwise marks'!U8) / ( (Assessments!$D$2*Assessments!$B$2) + (Assessments!$D$3*Assessments!$B$3) + (Assessments!$D$4*Assessments!$B$4) + (Assessments!$D$5*Assessments!$B$5) + (Assessments!$D$6*Assessments!$B$6)) * 100</f>
        <v>75.626666666666665</v>
      </c>
      <c r="F7" s="28">
        <f>IF(E7&gt;=Assessments!$G$2*1.2, 3, IF(E7&gt;=Assessments!$G$2, 2, 1))</f>
        <v>2</v>
      </c>
      <c r="G7" s="27">
        <f>('Componentwise marks'!F8 + 'Componentwise marks'!J8 + 'Componentwise marks'!N8 + 'Componentwise marks'!R8 + 'Componentwise marks'!V8) / ( (Assessments!$E$2*Assessments!$B$2) + (Assessments!$E$3*Assessments!$B$3) + (Assessments!$E$4*Assessments!$B$4) + (Assessments!$E$5*Assessments!$B$5) + (Assessments!$E$6*Assessments!$B$6)) * 100</f>
        <v>74.810810810810807</v>
      </c>
      <c r="H7" s="28">
        <f>IF(G7&gt;=Assessments!$G$2*1.2, 3, IF(G7&gt;=Assessments!$G$2, 2, 1))</f>
        <v>2</v>
      </c>
      <c r="I7" s="27">
        <f>('Componentwise marks'!G8 + 'Componentwise marks'!K8 + 'Componentwise marks'!O8 + 'Componentwise marks'!S8 + 'Componentwise marks'!W8) / ( (Assessments!$F$2*Assessments!$B$2) + (Assessments!$F$3*Assessments!$B$3) + (Assessments!$F$4*Assessments!$B$4) + (Assessments!$F$5*Assessments!$B$5) + (Assessments!$F$6*Assessments!$B$6)) * 100</f>
        <v>74.810810810810807</v>
      </c>
      <c r="J7" s="28">
        <f>IF(I7&gt;=Assessments!$G$2*1.2, 3, IF(I7&gt;=Assessments!$G$2, 2, 1))</f>
        <v>2</v>
      </c>
      <c r="K7" s="27">
        <f t="shared" si="0"/>
        <v>69.035294117647055</v>
      </c>
      <c r="L7" s="29">
        <f t="shared" si="1"/>
        <v>3.835294117647059</v>
      </c>
      <c r="M7" s="29">
        <f t="shared" si="2"/>
        <v>3.835294117647059</v>
      </c>
      <c r="N7" s="29">
        <f t="shared" si="3"/>
        <v>52.938666666666663</v>
      </c>
      <c r="O7" s="29">
        <f t="shared" si="4"/>
        <v>11.343999999999999</v>
      </c>
      <c r="P7" s="29">
        <f t="shared" si="5"/>
        <v>11.343999999999999</v>
      </c>
      <c r="Q7" s="27">
        <f t="shared" si="6"/>
        <v>29.924324324324324</v>
      </c>
      <c r="R7" s="29">
        <f t="shared" si="7"/>
        <v>37.405405405405403</v>
      </c>
      <c r="S7" s="29">
        <f t="shared" si="8"/>
        <v>7.4810810810810811</v>
      </c>
      <c r="T7" s="29">
        <f t="shared" si="9"/>
        <v>29.924324324324324</v>
      </c>
      <c r="U7" s="29">
        <f t="shared" si="10"/>
        <v>37.405405405405403</v>
      </c>
      <c r="V7" s="29">
        <f t="shared" si="11"/>
        <v>7.4810810810810811</v>
      </c>
      <c r="W7" s="32">
        <f t="shared" si="12"/>
        <v>75.75942059706766</v>
      </c>
      <c r="X7">
        <f>IF(W7&gt;=Assessments!$G$2*1.2, 3, IF(W7&gt;=Assessments!$G$2, 2, 1))</f>
        <v>2</v>
      </c>
      <c r="Y7" s="29">
        <f t="shared" si="13"/>
        <v>74.991754107048223</v>
      </c>
      <c r="Z7">
        <f>IF(Y7&gt;=Assessments!$G$2*1.2, 3, IF(Y7&gt;=Assessments!$G$2, 2, 1))</f>
        <v>2</v>
      </c>
      <c r="AA7" s="29">
        <f t="shared" si="14"/>
        <v>75.353640699523041</v>
      </c>
      <c r="AB7">
        <f>IF(AA7&gt;=Assessments!$G$2*1.2, 3, IF(AA7&gt;=Assessments!$G$2, 2, 1))</f>
        <v>2</v>
      </c>
      <c r="AC7" s="27">
        <f>((COs!$E$2 * C7 + COs!$E$3 * E7 + COs!$E$4 * G7 + COs!$E$5 * I7) / (COs!$E$2 * Assessments!$B$2 * Assessments!$C$2 + COs!$E$3 * Assessments!$B$3 * Assessments!$D$3 + COs!$E$4 * Assessments!$B$4 * Assessments!$E$4 + COs!$E$5 * Assessments!$B$5 * Assessments!$F$5))</f>
        <v>61.019356862745099</v>
      </c>
      <c r="AD7" s="28">
        <f>IF(AC7&gt;=Assessments!$G$2*1.2, 3, IF(AC7&gt;=Assessments!$G$2, 2, 1))</f>
        <v>1</v>
      </c>
      <c r="AE7" s="27">
        <f>((COs!$E$2 * C7 + COs!$E$3 * E7 + COs!$E$4 * G7 + COs!$E$5 * I7) / (COs!$E$2 * Assessments!$B$2 * Assessments!$C$2 + COs!$E$3 * Assessments!$B$3 * Assessments!$D$3 + COs!$E$4 * Assessments!$B$4 * Assessments!$E$4 + COs!$E$5 * Assessments!$B$5 * Assessments!$F$5))</f>
        <v>61.019356862745099</v>
      </c>
      <c r="AF7" s="28">
        <f>IF(AE7&gt;=Assessments!$G$2*1.2, 3, IF(AE7&gt;=Assessments!$G$2, 2, 1))</f>
        <v>1</v>
      </c>
      <c r="AG7" s="29">
        <f>((COs!$G$2 * C7 + COs!$G$3 * E7 + COs!$G$4 * G7 + COs!$G$5 * I7) / (COs!$G$2 * Assessments!$B$2 * Assessments!$C$2 + COs!$G$3 * Assessments!$B$3 * Assessments!$D$3 + COs!$G$4 * Assessments!$B$4 * Assessments!$E$4 + COs!$G$5 * Assessments!$B$5 * Assessments!$F$5))</f>
        <v>57.464916344916347</v>
      </c>
      <c r="AH7" s="28">
        <f>IF(AG7&gt;=Assessments!$G$2*1.2, 3, IF(AG7&gt;=Assessments!$G$2, 2, 1))</f>
        <v>1</v>
      </c>
      <c r="AI7" s="29">
        <f>((COs!$H$2 * C7 + COs!$H$3 * E7 + COs!$H$4 * G7 + COs!$H$5 * I7) / (COs!$H$2 * Assessments!$B$2 * Assessments!$C$2 + COs!$H$3 * Assessments!$B$3 * Assessments!$D$3 + COs!$H$4 * Assessments!$B$4 * Assessments!$E$4 + COs!$H$5 * Assessments!$B$5 * Assessments!$F$5))</f>
        <v>34.415807404042695</v>
      </c>
      <c r="AJ7" s="28">
        <f>IF(AI7&gt;=Assessments!$G$2*1.2, 3, IF(AI7&gt;=Assessments!$G$2, 2, 1))</f>
        <v>1</v>
      </c>
      <c r="AK7" s="29">
        <f>((COs!$I$2 * C7 + COs!$I$3 * E7 + COs!$I$4 * G7 + COs!$I$5 * I7) / (COs!$I$2 * Assessments!$B$2 * Assessments!$C$2 + COs!$I$3 * Assessments!$B$3 * Assessments!$D$3 + COs!$I$4 * Assessments!$B$4 * Assessments!$E$4 + COs!$I$5 * Assessments!$B$5 * Assessments!$F$5))</f>
        <v>60.789124183006528</v>
      </c>
      <c r="AL7" s="28">
        <f>IF(AK7&gt;=Assessments!$G$2*1.2, 3, IF(AK7&gt;=Assessments!$G$2, 2, 1))</f>
        <v>1</v>
      </c>
      <c r="AM7" s="29">
        <f>((COs!$J$2 * C7 + COs!$J$3 * E7 + COs!$J$4 * G7 + COs!$J$5 * I7) / (COs!$J$2 * Assessments!$B$2 * Assessments!$C$2 + COs!$J$3 * Assessments!$B$3 * Assessments!$D$3 + COs!$J$4 * Assessments!$B$4 * Assessments!$E$4 + COs!$J$5 * Assessments!$B$5 * Assessments!$F$5))</f>
        <v>24.936936936936934</v>
      </c>
      <c r="AN7" s="28">
        <f>IF(AM7&gt;=Assessments!$G$2*1.2, 3, IF(AM7&gt;=Assessments!$G$2, 2, 1))</f>
        <v>1</v>
      </c>
      <c r="AO7" s="29">
        <f>((COs!$K$2 * C7 + COs!$K$3 * E7 + COs!$K$4 * G7 + COs!$K$5 * I7) / (COs!$K$2 * Assessments!$B$2 * Assessments!$C$2 + COs!$K$3 * Assessments!$B$3 * Assessments!$D$3 + COs!$K$4 * Assessments!$B$4 * Assessments!$E$4 + COs!$K$5 * Assessments!$B$5 * Assessments!$F$5))</f>
        <v>24.936936936936934</v>
      </c>
      <c r="AP7" s="28">
        <f>IF(AO7&gt;=Assessments!$G$2*1.2, 3, IF(AO7&gt;=Assessments!$G$2, 2, 1))</f>
        <v>1</v>
      </c>
      <c r="AQ7" s="29">
        <f>((COs!$L$2 * C7 + COs!$L$3 * E7 + COs!$L$4 * G7 + COs!$L$5 * I7) / (COs!$L$2 * Assessments!$B$2 * Assessments!$C$2 + COs!$L$3 * Assessments!$B$3 * Assessments!$D$3 + COs!$L$4 * Assessments!$B$4 * Assessments!$E$4 + COs!$L$5 * Assessments!$B$5 * Assessments!$F$5))</f>
        <v>33.249249249249246</v>
      </c>
      <c r="AR7" s="28">
        <f>IF(AQ7&gt;=Assessments!$G$2*1.2, 3, IF(AQ7&gt;=Assessments!$G$2, 2, 1))</f>
        <v>1</v>
      </c>
      <c r="AS7" s="29">
        <f>((COs!$M$2 * C7 + COs!$M$3 * E7 + COs!$M$4 * G7 + COs!$M$5 * I7) / (COs!$M$2 * Assessments!$B$2 * Assessments!$C$2 + COs!$M$3 * Assessments!$B$3 * Assessments!$D$3 + COs!$M$4 * Assessments!$B$4 * Assessments!$E$4 + COs!$M$5 * Assessments!$B$5 * Assessments!$F$5))</f>
        <v>33.249249249249246</v>
      </c>
      <c r="AT7" s="28">
        <f>IF(AS7&gt;=Assessments!$G$2*1.2, 3, IF(AS7&gt;=Assessments!$G$2, 2, 1))</f>
        <v>1</v>
      </c>
      <c r="AU7" s="29">
        <f>((COs!$N$2 * C7 + COs!$N$3 * E7 + COs!$N$4 * G7 + COs!$N$5 * I7) / (COs!$N$2 * Assessments!$B$2 * Assessments!$C$2 + COs!$N$3 * Assessments!$B$3 * Assessments!$D$3 + COs!$N$4 * Assessments!$B$4 * Assessments!$E$4 + COs!$N$5 * Assessments!$B$5 * Assessments!$F$5))</f>
        <v>46.509832185126307</v>
      </c>
      <c r="AV7" s="28">
        <f>IF(AU7&gt;=Assessments!$G$2*1.2, 3, IF(AU7&gt;=Assessments!$G$2, 2, 1))</f>
        <v>1</v>
      </c>
      <c r="AW7" s="29">
        <f>((COs!$O$2 * C7 + COs!$O$3 * E7 + COs!$O$4 * G7 + COs!$O$5 * I7) / (COs!$O$2 * Assessments!$B$2 * Assessments!$C$2 + COs!$O$3 * Assessments!$B$3 * Assessments!$D$3 + COs!$O$4 * Assessments!$B$4 * Assessments!$E$4 + COs!$O$5 * Assessments!$B$5 * Assessments!$F$5))</f>
        <v>33.938167601563826</v>
      </c>
      <c r="AX7" s="28">
        <f>IF(AW7&gt;=Assessments!$G$2*1.2, 3, IF(AW7&gt;=Assessments!$G$2, 2, 1))</f>
        <v>1</v>
      </c>
      <c r="AY7" s="29">
        <f>((COs!$P$2 * C7 + COs!$P$3 * E7 + COs!$P$4 * G7 + COs!$P$5 * I7) / (COs!$P$2 * Assessments!$B$2 * Assessments!$C$2 + COs!$P$3 * Assessments!$B$3 * Assessments!$D$3 + COs!$P$4 * Assessments!$B$4 * Assessments!$E$4 + COs!$P$5 * Assessments!$B$5 * Assessments!$F$5))</f>
        <v>29.924324324324324</v>
      </c>
      <c r="AZ7" s="28">
        <f>IF(AY7&gt;=Assessments!$G$2*1.2, 3, IF(AY7&gt;=Assessments!$G$2, 2, 1))</f>
        <v>1</v>
      </c>
      <c r="BA7" s="30"/>
      <c r="BB7" s="30"/>
    </row>
    <row r="8" spans="1:54" x14ac:dyDescent="0.25">
      <c r="A8" s="26" t="str">
        <f>'IA Marks'!B9</f>
        <v>22BSR16038</v>
      </c>
      <c r="B8" s="26" t="str">
        <f>'IA Marks'!C9</f>
        <v>KESANI DEEKSHITHA</v>
      </c>
      <c r="C8" s="27">
        <f>('Componentwise marks'!D9 + 'Componentwise marks'!H9 + 'Componentwise marks'!L9 + 'Componentwise marks'!P9 + 'Componentwise marks'!T9) / ( (Assessments!$C$2*Assessments!$B$2) + (Assessments!$C$3*Assessments!$B$3) + (Assessments!$C$4*Assessments!$B$4) + (Assessments!$C$5*Assessments!$B$5) + (Assessments!$C$6*Assessments!$B$6)) * 100</f>
        <v>80.568627450980387</v>
      </c>
      <c r="D8" s="28">
        <f>IF(C8&gt;=Assessments!$G$2*1.2, 3, IF(C8&gt;=Assessments!$G$2, 2, 1))</f>
        <v>3</v>
      </c>
      <c r="E8" s="27">
        <f>('Componentwise marks'!E9 + 'Componentwise marks'!I9 + 'Componentwise marks'!M9 + 'Componentwise marks'!Q9 + 'Componentwise marks'!U9) / ( (Assessments!$D$2*Assessments!$B$2) + (Assessments!$D$3*Assessments!$B$3) + (Assessments!$D$4*Assessments!$B$4) + (Assessments!$D$5*Assessments!$B$5) + (Assessments!$D$6*Assessments!$B$6)) * 100</f>
        <v>78.25333333333333</v>
      </c>
      <c r="F8" s="28">
        <f>IF(E8&gt;=Assessments!$G$2*1.2, 3, IF(E8&gt;=Assessments!$G$2, 2, 1))</f>
        <v>3</v>
      </c>
      <c r="G8" s="27">
        <f>('Componentwise marks'!F9 + 'Componentwise marks'!J9 + 'Componentwise marks'!N9 + 'Componentwise marks'!R9 + 'Componentwise marks'!V9) / ( (Assessments!$E$2*Assessments!$B$2) + (Assessments!$E$3*Assessments!$B$3) + (Assessments!$E$4*Assessments!$B$4) + (Assessments!$E$5*Assessments!$B$5) + (Assessments!$E$6*Assessments!$B$6)) * 100</f>
        <v>77.86486486486487</v>
      </c>
      <c r="H8" s="28">
        <f>IF(G8&gt;=Assessments!$G$2*1.2, 3, IF(G8&gt;=Assessments!$G$2, 2, 1))</f>
        <v>2</v>
      </c>
      <c r="I8" s="27">
        <f>('Componentwise marks'!G9 + 'Componentwise marks'!K9 + 'Componentwise marks'!O9 + 'Componentwise marks'!S9 + 'Componentwise marks'!W9) / ( (Assessments!$F$2*Assessments!$B$2) + (Assessments!$F$3*Assessments!$B$3) + (Assessments!$F$4*Assessments!$B$4) + (Assessments!$F$5*Assessments!$B$5) + (Assessments!$F$6*Assessments!$B$6)) * 100</f>
        <v>77.86486486486487</v>
      </c>
      <c r="J8" s="28">
        <f>IF(I8&gt;=Assessments!$G$2*1.2, 3, IF(I8&gt;=Assessments!$G$2, 2, 1))</f>
        <v>2</v>
      </c>
      <c r="K8" s="27">
        <f t="shared" si="0"/>
        <v>72.511764705882356</v>
      </c>
      <c r="L8" s="29">
        <f t="shared" si="1"/>
        <v>4.0284313725490195</v>
      </c>
      <c r="M8" s="29">
        <f t="shared" si="2"/>
        <v>4.0284313725490195</v>
      </c>
      <c r="N8" s="29">
        <f t="shared" si="3"/>
        <v>54.777333333333331</v>
      </c>
      <c r="O8" s="29">
        <f t="shared" si="4"/>
        <v>11.738</v>
      </c>
      <c r="P8" s="29">
        <f t="shared" si="5"/>
        <v>11.738</v>
      </c>
      <c r="Q8" s="27">
        <f t="shared" si="6"/>
        <v>31.14594594594595</v>
      </c>
      <c r="R8" s="29">
        <f t="shared" si="7"/>
        <v>38.932432432432435</v>
      </c>
      <c r="S8" s="29">
        <f t="shared" si="8"/>
        <v>7.7864864864864876</v>
      </c>
      <c r="T8" s="29">
        <f t="shared" si="9"/>
        <v>31.14594594594595</v>
      </c>
      <c r="U8" s="29">
        <f t="shared" si="10"/>
        <v>38.932432432432435</v>
      </c>
      <c r="V8" s="29">
        <f t="shared" si="11"/>
        <v>7.7864864864864876</v>
      </c>
      <c r="W8" s="32">
        <f t="shared" si="12"/>
        <v>78.992079137961497</v>
      </c>
      <c r="X8">
        <f>IF(W8&gt;=Assessments!$G$2*1.2, 3, IF(W8&gt;=Assessments!$G$2, 2, 1))</f>
        <v>3</v>
      </c>
      <c r="Y8" s="29">
        <f t="shared" si="13"/>
        <v>78.026080197844919</v>
      </c>
      <c r="Z8">
        <f>IF(Y8&gt;=Assessments!$G$2*1.2, 3, IF(Y8&gt;=Assessments!$G$2, 2, 1))</f>
        <v>3</v>
      </c>
      <c r="AA8" s="29">
        <f t="shared" si="14"/>
        <v>78.348510863804989</v>
      </c>
      <c r="AB8">
        <f>IF(AA8&gt;=Assessments!$G$2*1.2, 3, IF(AA8&gt;=Assessments!$G$2, 2, 1))</f>
        <v>3</v>
      </c>
      <c r="AC8" s="27">
        <f>((COs!$E$2 * C8 + COs!$E$3 * E8 + COs!$E$4 * G8 + COs!$E$5 * I8) / (COs!$E$2 * Assessments!$B$2 * Assessments!$C$2 + COs!$E$3 * Assessments!$B$3 * Assessments!$D$3 + COs!$E$4 * Assessments!$B$4 * Assessments!$E$4 + COs!$E$5 * Assessments!$B$5 * Assessments!$F$5))</f>
        <v>63.714007843137253</v>
      </c>
      <c r="AD8" s="28">
        <f>IF(AC8&gt;=Assessments!$G$2*1.2, 3, IF(AC8&gt;=Assessments!$G$2, 2, 1))</f>
        <v>1</v>
      </c>
      <c r="AE8" s="27">
        <f>((COs!$E$2 * C8 + COs!$E$3 * E8 + COs!$E$4 * G8 + COs!$E$5 * I8) / (COs!$E$2 * Assessments!$B$2 * Assessments!$C$2 + COs!$E$3 * Assessments!$B$3 * Assessments!$D$3 + COs!$E$4 * Assessments!$B$4 * Assessments!$E$4 + COs!$E$5 * Assessments!$B$5 * Assessments!$F$5))</f>
        <v>63.714007843137253</v>
      </c>
      <c r="AF8" s="28">
        <f>IF(AE8&gt;=Assessments!$G$2*1.2, 3, IF(AE8&gt;=Assessments!$G$2, 2, 1))</f>
        <v>1</v>
      </c>
      <c r="AG8" s="29">
        <f>((COs!$G$2 * C8 + COs!$G$3 * E8 + COs!$G$4 * G8 + COs!$G$5 * I8) / (COs!$G$2 * Assessments!$B$2 * Assessments!$C$2 + COs!$G$3 * Assessments!$B$3 * Assessments!$D$3 + COs!$G$4 * Assessments!$B$4 * Assessments!$E$4 + COs!$G$5 * Assessments!$B$5 * Assessments!$F$5))</f>
        <v>59.54759330759331</v>
      </c>
      <c r="AH8" s="28">
        <f>IF(AG8&gt;=Assessments!$G$2*1.2, 3, IF(AG8&gt;=Assessments!$G$2, 2, 1))</f>
        <v>1</v>
      </c>
      <c r="AI8" s="29">
        <f>((COs!$H$2 * C8 + COs!$H$3 * E8 + COs!$H$4 * G8 + COs!$H$5 * I8) / (COs!$H$2 * Assessments!$B$2 * Assessments!$C$2 + COs!$H$3 * Assessments!$B$3 * Assessments!$D$3 + COs!$H$4 * Assessments!$B$4 * Assessments!$E$4 + COs!$H$5 * Assessments!$B$5 * Assessments!$F$5))</f>
        <v>35.904368233780005</v>
      </c>
      <c r="AJ8" s="28">
        <f>IF(AI8&gt;=Assessments!$G$2*1.2, 3, IF(AI8&gt;=Assessments!$G$2, 2, 1))</f>
        <v>1</v>
      </c>
      <c r="AK8" s="29">
        <f>((COs!$I$2 * C8 + COs!$I$3 * E8 + COs!$I$4 * G8 + COs!$I$5 * I8) / (COs!$I$2 * Assessments!$B$2 * Assessments!$C$2 + COs!$I$3 * Assessments!$B$3 * Assessments!$D$3 + COs!$I$4 * Assessments!$B$4 * Assessments!$E$4 + COs!$I$5 * Assessments!$B$5 * Assessments!$F$5))</f>
        <v>63.220078431372549</v>
      </c>
      <c r="AL8" s="28">
        <f>IF(AK8&gt;=Assessments!$G$2*1.2, 3, IF(AK8&gt;=Assessments!$G$2, 2, 1))</f>
        <v>1</v>
      </c>
      <c r="AM8" s="29">
        <f>((COs!$J$2 * C8 + COs!$J$3 * E8 + COs!$J$4 * G8 + COs!$J$5 * I8) / (COs!$J$2 * Assessments!$B$2 * Assessments!$C$2 + COs!$J$3 * Assessments!$B$3 * Assessments!$D$3 + COs!$J$4 * Assessments!$B$4 * Assessments!$E$4 + COs!$J$5 * Assessments!$B$5 * Assessments!$F$5))</f>
        <v>25.954954954954957</v>
      </c>
      <c r="AN8" s="28">
        <f>IF(AM8&gt;=Assessments!$G$2*1.2, 3, IF(AM8&gt;=Assessments!$G$2, 2, 1))</f>
        <v>1</v>
      </c>
      <c r="AO8" s="29">
        <f>((COs!$K$2 * C8 + COs!$K$3 * E8 + COs!$K$4 * G8 + COs!$K$5 * I8) / (COs!$K$2 * Assessments!$B$2 * Assessments!$C$2 + COs!$K$3 * Assessments!$B$3 * Assessments!$D$3 + COs!$K$4 * Assessments!$B$4 * Assessments!$E$4 + COs!$K$5 * Assessments!$B$5 * Assessments!$F$5))</f>
        <v>25.954954954954957</v>
      </c>
      <c r="AP8" s="28">
        <f>IF(AO8&gt;=Assessments!$G$2*1.2, 3, IF(AO8&gt;=Assessments!$G$2, 2, 1))</f>
        <v>1</v>
      </c>
      <c r="AQ8" s="29">
        <f>((COs!$L$2 * C8 + COs!$L$3 * E8 + COs!$L$4 * G8 + COs!$L$5 * I8) / (COs!$L$2 * Assessments!$B$2 * Assessments!$C$2 + COs!$L$3 * Assessments!$B$3 * Assessments!$D$3 + COs!$L$4 * Assessments!$B$4 * Assessments!$E$4 + COs!$L$5 * Assessments!$B$5 * Assessments!$F$5))</f>
        <v>34.606606606606611</v>
      </c>
      <c r="AR8" s="28">
        <f>IF(AQ8&gt;=Assessments!$G$2*1.2, 3, IF(AQ8&gt;=Assessments!$G$2, 2, 1))</f>
        <v>1</v>
      </c>
      <c r="AS8" s="29">
        <f>((COs!$M$2 * C8 + COs!$M$3 * E8 + COs!$M$4 * G8 + COs!$M$5 * I8) / (COs!$M$2 * Assessments!$B$2 * Assessments!$C$2 + COs!$M$3 * Assessments!$B$3 * Assessments!$D$3 + COs!$M$4 * Assessments!$B$4 * Assessments!$E$4 + COs!$M$5 * Assessments!$B$5 * Assessments!$F$5))</f>
        <v>34.606606606606611</v>
      </c>
      <c r="AT8" s="28">
        <f>IF(AS8&gt;=Assessments!$G$2*1.2, 3, IF(AS8&gt;=Assessments!$G$2, 2, 1))</f>
        <v>1</v>
      </c>
      <c r="AU8" s="29">
        <f>((COs!$N$2 * C8 + COs!$N$3 * E8 + COs!$N$4 * G8 + COs!$N$5 * I8) / (COs!$N$2 * Assessments!$B$2 * Assessments!$C$2 + COs!$N$3 * Assessments!$B$3 * Assessments!$D$3 + COs!$N$4 * Assessments!$B$4 * Assessments!$E$4 + COs!$N$5 * Assessments!$B$5 * Assessments!$F$5))</f>
        <v>48.51130080306551</v>
      </c>
      <c r="AV8" s="28">
        <f>IF(AU8&gt;=Assessments!$G$2*1.2, 3, IF(AU8&gt;=Assessments!$G$2, 2, 1))</f>
        <v>1</v>
      </c>
      <c r="AW8" s="29">
        <f>((COs!$O$2 * C8 + COs!$O$3 * E8 + COs!$O$4 * G8 + COs!$O$5 * I8) / (COs!$O$2 * Assessments!$B$2 * Assessments!$C$2 + COs!$O$3 * Assessments!$B$3 * Assessments!$D$3 + COs!$O$4 * Assessments!$B$4 * Assessments!$E$4 + COs!$O$5 * Assessments!$B$5 * Assessments!$F$5))</f>
        <v>35.288879823219453</v>
      </c>
      <c r="AX8" s="28">
        <f>IF(AW8&gt;=Assessments!$G$2*1.2, 3, IF(AW8&gt;=Assessments!$G$2, 2, 1))</f>
        <v>1</v>
      </c>
      <c r="AY8" s="29">
        <f>((COs!$P$2 * C8 + COs!$P$3 * E8 + COs!$P$4 * G8 + COs!$P$5 * I8) / (COs!$P$2 * Assessments!$B$2 * Assessments!$C$2 + COs!$P$3 * Assessments!$B$3 * Assessments!$D$3 + COs!$P$4 * Assessments!$B$4 * Assessments!$E$4 + COs!$P$5 * Assessments!$B$5 * Assessments!$F$5))</f>
        <v>31.145945945945947</v>
      </c>
      <c r="AZ8" s="28">
        <f>IF(AY8&gt;=Assessments!$G$2*1.2, 3, IF(AY8&gt;=Assessments!$G$2, 2, 1))</f>
        <v>1</v>
      </c>
      <c r="BA8" s="30"/>
      <c r="BB8" s="30"/>
    </row>
    <row r="9" spans="1:54" x14ac:dyDescent="0.25">
      <c r="A9" s="26" t="str">
        <f>'IA Marks'!B10</f>
        <v>22BSR16040</v>
      </c>
      <c r="B9" s="26" t="str">
        <f>'IA Marks'!C10</f>
        <v>PALLE KUSUMA KUMARI</v>
      </c>
      <c r="C9" s="27">
        <f>('Componentwise marks'!D10 + 'Componentwise marks'!H10 + 'Componentwise marks'!L10 + 'Componentwise marks'!P10 + 'Componentwise marks'!T10) / ( (Assessments!$C$2*Assessments!$B$2) + (Assessments!$C$3*Assessments!$B$3) + (Assessments!$C$4*Assessments!$B$4) + (Assessments!$C$5*Assessments!$B$5) + (Assessments!$C$6*Assessments!$B$6)) * 100</f>
        <v>66.392156862745097</v>
      </c>
      <c r="D9" s="28">
        <f>IF(C9&gt;=Assessments!$G$2*1.2, 3, IF(C9&gt;=Assessments!$G$2, 2, 1))</f>
        <v>2</v>
      </c>
      <c r="E9" s="27">
        <f>('Componentwise marks'!E10 + 'Componentwise marks'!I10 + 'Componentwise marks'!M10 + 'Componentwise marks'!Q10 + 'Componentwise marks'!U10) / ( (Assessments!$D$2*Assessments!$B$2) + (Assessments!$D$3*Assessments!$B$3) + (Assessments!$D$4*Assessments!$B$4) + (Assessments!$D$5*Assessments!$B$5) + (Assessments!$D$6*Assessments!$B$6)) * 100</f>
        <v>68.61333333333333</v>
      </c>
      <c r="F9" s="28">
        <f>IF(E9&gt;=Assessments!$G$2*1.2, 3, IF(E9&gt;=Assessments!$G$2, 2, 1))</f>
        <v>2</v>
      </c>
      <c r="G9" s="27">
        <f>('Componentwise marks'!F10 + 'Componentwise marks'!J10 + 'Componentwise marks'!N10 + 'Componentwise marks'!R10 + 'Componentwise marks'!V10) / ( (Assessments!$E$2*Assessments!$B$2) + (Assessments!$E$3*Assessments!$B$3) + (Assessments!$E$4*Assessments!$B$4) + (Assessments!$E$5*Assessments!$B$5) + (Assessments!$E$6*Assessments!$B$6)) * 100</f>
        <v>67.945945945945951</v>
      </c>
      <c r="H9" s="28">
        <f>IF(G9&gt;=Assessments!$G$2*1.2, 3, IF(G9&gt;=Assessments!$G$2, 2, 1))</f>
        <v>2</v>
      </c>
      <c r="I9" s="27">
        <f>('Componentwise marks'!G10 + 'Componentwise marks'!K10 + 'Componentwise marks'!O10 + 'Componentwise marks'!S10 + 'Componentwise marks'!W10) / ( (Assessments!$F$2*Assessments!$B$2) + (Assessments!$F$3*Assessments!$B$3) + (Assessments!$F$4*Assessments!$B$4) + (Assessments!$F$5*Assessments!$B$5) + (Assessments!$F$6*Assessments!$B$6)) * 100</f>
        <v>67.945945945945951</v>
      </c>
      <c r="J9" s="28">
        <f>IF(I9&gt;=Assessments!$G$2*1.2, 3, IF(I9&gt;=Assessments!$G$2, 2, 1))</f>
        <v>2</v>
      </c>
      <c r="K9" s="27">
        <f t="shared" si="0"/>
        <v>59.752941176470586</v>
      </c>
      <c r="L9" s="29">
        <f t="shared" si="1"/>
        <v>3.3196078431372551</v>
      </c>
      <c r="M9" s="29">
        <f t="shared" si="2"/>
        <v>3.3196078431372551</v>
      </c>
      <c r="N9" s="29">
        <f t="shared" si="3"/>
        <v>48.029333333333327</v>
      </c>
      <c r="O9" s="29">
        <f t="shared" si="4"/>
        <v>10.292</v>
      </c>
      <c r="P9" s="29">
        <f t="shared" si="5"/>
        <v>10.292</v>
      </c>
      <c r="Q9" s="27">
        <f t="shared" si="6"/>
        <v>27.178378378378383</v>
      </c>
      <c r="R9" s="29">
        <f t="shared" si="7"/>
        <v>33.972972972972975</v>
      </c>
      <c r="S9" s="29">
        <f t="shared" si="8"/>
        <v>6.7945945945945958</v>
      </c>
      <c r="T9" s="29">
        <f t="shared" si="9"/>
        <v>27.178378378378383</v>
      </c>
      <c r="U9" s="29">
        <f t="shared" si="10"/>
        <v>33.972972972972975</v>
      </c>
      <c r="V9" s="29">
        <f t="shared" si="11"/>
        <v>6.7945945945945958</v>
      </c>
      <c r="W9" s="32">
        <f t="shared" si="12"/>
        <v>67.557929694400286</v>
      </c>
      <c r="X9">
        <f>IF(W9&gt;=Assessments!$G$2*1.2, 3, IF(W9&gt;=Assessments!$G$2, 2, 1))</f>
        <v>2</v>
      </c>
      <c r="Y9" s="29">
        <f t="shared" si="13"/>
        <v>67.964628157569351</v>
      </c>
      <c r="Z9">
        <f>IF(Y9&gt;=Assessments!$G$2*1.2, 3, IF(Y9&gt;=Assessments!$G$2, 2, 1))</f>
        <v>2</v>
      </c>
      <c r="AA9" s="29">
        <f t="shared" si="14"/>
        <v>68.001992580816108</v>
      </c>
      <c r="AB9">
        <f>IF(AA9&gt;=Assessments!$G$2*1.2, 3, IF(AA9&gt;=Assessments!$G$2, 2, 1))</f>
        <v>2</v>
      </c>
      <c r="AC9" s="27">
        <f>((COs!$E$2 * C9 + COs!$E$3 * E9 + COs!$E$4 * G9 + COs!$E$5 * I9) / (COs!$E$2 * Assessments!$B$2 * Assessments!$C$2 + COs!$E$3 * Assessments!$B$3 * Assessments!$D$3 + COs!$E$4 * Assessments!$B$4 * Assessments!$E$4 + COs!$E$5 * Assessments!$B$5 * Assessments!$F$5))</f>
        <v>53.82450196078431</v>
      </c>
      <c r="AD9" s="28">
        <f>IF(AC9&gt;=Assessments!$G$2*1.2, 3, IF(AC9&gt;=Assessments!$G$2, 2, 1))</f>
        <v>1</v>
      </c>
      <c r="AE9" s="27">
        <f>((COs!$E$2 * C9 + COs!$E$3 * E9 + COs!$E$4 * G9 + COs!$E$5 * I9) / (COs!$E$2 * Assessments!$B$2 * Assessments!$C$2 + COs!$E$3 * Assessments!$B$3 * Assessments!$D$3 + COs!$E$4 * Assessments!$B$4 * Assessments!$E$4 + COs!$E$5 * Assessments!$B$5 * Assessments!$F$5))</f>
        <v>53.82450196078431</v>
      </c>
      <c r="AF9" s="28">
        <f>IF(AE9&gt;=Assessments!$G$2*1.2, 3, IF(AE9&gt;=Assessments!$G$2, 2, 1))</f>
        <v>1</v>
      </c>
      <c r="AG9" s="29">
        <f>((COs!$G$2 * C9 + COs!$G$3 * E9 + COs!$G$4 * G9 + COs!$G$5 * I9) / (COs!$G$2 * Assessments!$B$2 * Assessments!$C$2 + COs!$G$3 * Assessments!$B$3 * Assessments!$D$3 + COs!$G$4 * Assessments!$B$4 * Assessments!$E$4 + COs!$G$5 * Assessments!$B$5 * Assessments!$F$5))</f>
        <v>52.14970398970398</v>
      </c>
      <c r="AH9" s="28">
        <f>IF(AG9&gt;=Assessments!$G$2*1.2, 3, IF(AG9&gt;=Assessments!$G$2, 2, 1))</f>
        <v>1</v>
      </c>
      <c r="AI9" s="29">
        <f>((COs!$H$2 * C9 + COs!$H$3 * E9 + COs!$H$4 * G9 + COs!$H$5 * I9) / (COs!$H$2 * Assessments!$B$2 * Assessments!$C$2 + COs!$H$3 * Assessments!$B$3 * Assessments!$D$3 + COs!$H$4 * Assessments!$B$4 * Assessments!$E$4 + COs!$H$5 * Assessments!$B$5 * Assessments!$F$5))</f>
        <v>30.883427965780907</v>
      </c>
      <c r="AJ9" s="28">
        <f>IF(AI9&gt;=Assessments!$G$2*1.2, 3, IF(AI9&gt;=Assessments!$G$2, 2, 1))</f>
        <v>1</v>
      </c>
      <c r="AK9" s="29">
        <f>((COs!$I$2 * C9 + COs!$I$3 * E9 + COs!$I$4 * G9 + COs!$I$5 * I9) / (COs!$I$2 * Assessments!$B$2 * Assessments!$C$2 + COs!$I$3 * Assessments!$B$3 * Assessments!$D$3 + COs!$I$4 * Assessments!$B$4 * Assessments!$E$4 + COs!$I$5 * Assessments!$B$5 * Assessments!$F$5))</f>
        <v>54.298352941176475</v>
      </c>
      <c r="AL9" s="28">
        <f>IF(AK9&gt;=Assessments!$G$2*1.2, 3, IF(AK9&gt;=Assessments!$G$2, 2, 1))</f>
        <v>1</v>
      </c>
      <c r="AM9" s="29">
        <f>((COs!$J$2 * C9 + COs!$J$3 * E9 + COs!$J$4 * G9 + COs!$J$5 * I9) / (COs!$J$2 * Assessments!$B$2 * Assessments!$C$2 + COs!$J$3 * Assessments!$B$3 * Assessments!$D$3 + COs!$J$4 * Assessments!$B$4 * Assessments!$E$4 + COs!$J$5 * Assessments!$B$5 * Assessments!$F$5))</f>
        <v>22.648648648648649</v>
      </c>
      <c r="AN9" s="28">
        <f>IF(AM9&gt;=Assessments!$G$2*1.2, 3, IF(AM9&gt;=Assessments!$G$2, 2, 1))</f>
        <v>1</v>
      </c>
      <c r="AO9" s="29">
        <f>((COs!$K$2 * C9 + COs!$K$3 * E9 + COs!$K$4 * G9 + COs!$K$5 * I9) / (COs!$K$2 * Assessments!$B$2 * Assessments!$C$2 + COs!$K$3 * Assessments!$B$3 * Assessments!$D$3 + COs!$K$4 * Assessments!$B$4 * Assessments!$E$4 + COs!$K$5 * Assessments!$B$5 * Assessments!$F$5))</f>
        <v>22.648648648648649</v>
      </c>
      <c r="AP9" s="28">
        <f>IF(AO9&gt;=Assessments!$G$2*1.2, 3, IF(AO9&gt;=Assessments!$G$2, 2, 1))</f>
        <v>1</v>
      </c>
      <c r="AQ9" s="29">
        <f>((COs!$L$2 * C9 + COs!$L$3 * E9 + COs!$L$4 * G9 + COs!$L$5 * I9) / (COs!$L$2 * Assessments!$B$2 * Assessments!$C$2 + COs!$L$3 * Assessments!$B$3 * Assessments!$D$3 + COs!$L$4 * Assessments!$B$4 * Assessments!$E$4 + COs!$L$5 * Assessments!$B$5 * Assessments!$F$5))</f>
        <v>30.198198198198199</v>
      </c>
      <c r="AR9" s="28">
        <f>IF(AQ9&gt;=Assessments!$G$2*1.2, 3, IF(AQ9&gt;=Assessments!$G$2, 2, 1))</f>
        <v>1</v>
      </c>
      <c r="AS9" s="29">
        <f>((COs!$M$2 * C9 + COs!$M$3 * E9 + COs!$M$4 * G9 + COs!$M$5 * I9) / (COs!$M$2 * Assessments!$B$2 * Assessments!$C$2 + COs!$M$3 * Assessments!$B$3 * Assessments!$D$3 + COs!$M$4 * Assessments!$B$4 * Assessments!$E$4 + COs!$M$5 * Assessments!$B$5 * Assessments!$F$5))</f>
        <v>30.198198198198199</v>
      </c>
      <c r="AT9" s="28">
        <f>IF(AS9&gt;=Assessments!$G$2*1.2, 3, IF(AS9&gt;=Assessments!$G$2, 2, 1))</f>
        <v>1</v>
      </c>
      <c r="AU9" s="29">
        <f>((COs!$N$2 * C9 + COs!$N$3 * E9 + COs!$N$4 * G9 + COs!$N$5 * I9) / (COs!$N$2 * Assessments!$B$2 * Assessments!$C$2 + COs!$N$3 * Assessments!$B$3 * Assessments!$D$3 + COs!$N$4 * Assessments!$B$4 * Assessments!$E$4 + COs!$N$5 * Assessments!$B$5 * Assessments!$F$5))</f>
        <v>41.562613835555005</v>
      </c>
      <c r="AV9" s="28">
        <f>IF(AU9&gt;=Assessments!$G$2*1.2, 3, IF(AU9&gt;=Assessments!$G$2, 2, 1))</f>
        <v>1</v>
      </c>
      <c r="AW9" s="29">
        <f>((COs!$O$2 * C9 + COs!$O$3 * E9 + COs!$O$4 * G9 + COs!$O$5 * I9) / (COs!$O$2 * Assessments!$B$2 * Assessments!$C$2 + COs!$O$3 * Assessments!$B$3 * Assessments!$D$3 + COs!$O$4 * Assessments!$B$4 * Assessments!$E$4 + COs!$O$5 * Assessments!$B$5 * Assessments!$F$5))</f>
        <v>30.818344382117967</v>
      </c>
      <c r="AX9" s="28">
        <f>IF(AW9&gt;=Assessments!$G$2*1.2, 3, IF(AW9&gt;=Assessments!$G$2, 2, 1))</f>
        <v>1</v>
      </c>
      <c r="AY9" s="29">
        <f>((COs!$P$2 * C9 + COs!$P$3 * E9 + COs!$P$4 * G9 + COs!$P$5 * I9) / (COs!$P$2 * Assessments!$B$2 * Assessments!$C$2 + COs!$P$3 * Assessments!$B$3 * Assessments!$D$3 + COs!$P$4 * Assessments!$B$4 * Assessments!$E$4 + COs!$P$5 * Assessments!$B$5 * Assessments!$F$5))</f>
        <v>27.178378378378383</v>
      </c>
      <c r="AZ9" s="28">
        <f>IF(AY9&gt;=Assessments!$G$2*1.2, 3, IF(AY9&gt;=Assessments!$G$2, 2, 1))</f>
        <v>1</v>
      </c>
      <c r="BA9" s="30"/>
      <c r="BB9" s="30"/>
    </row>
    <row r="10" spans="1:54" x14ac:dyDescent="0.25">
      <c r="A10" s="26" t="str">
        <f>'IA Marks'!B11</f>
        <v>22BSR16043</v>
      </c>
      <c r="B10" s="26" t="str">
        <f>'IA Marks'!C11</f>
        <v>FAIZULLAH</v>
      </c>
      <c r="C10" s="27">
        <f>('Componentwise marks'!D11 + 'Componentwise marks'!H11 + 'Componentwise marks'!L11 + 'Componentwise marks'!P11 + 'Componentwise marks'!T11) / ( (Assessments!$C$2*Assessments!$B$2) + (Assessments!$C$3*Assessments!$B$3) + (Assessments!$C$4*Assessments!$B$4) + (Assessments!$C$5*Assessments!$B$5) + (Assessments!$C$6*Assessments!$B$6)) * 100</f>
        <v>66.941176470588232</v>
      </c>
      <c r="D10" s="28">
        <f>IF(C10&gt;=Assessments!$G$2*1.2, 3, IF(C10&gt;=Assessments!$G$2, 2, 1))</f>
        <v>2</v>
      </c>
      <c r="E10" s="27">
        <f>('Componentwise marks'!E11 + 'Componentwise marks'!I11 + 'Componentwise marks'!M11 + 'Componentwise marks'!Q11 + 'Componentwise marks'!U11) / ( (Assessments!$D$2*Assessments!$B$2) + (Assessments!$D$3*Assessments!$B$3) + (Assessments!$D$4*Assessments!$B$4) + (Assessments!$D$5*Assessments!$B$5) + (Assessments!$D$6*Assessments!$B$6)) * 100</f>
        <v>68.986666666666665</v>
      </c>
      <c r="F10" s="28">
        <f>IF(E10&gt;=Assessments!$G$2*1.2, 3, IF(E10&gt;=Assessments!$G$2, 2, 1))</f>
        <v>2</v>
      </c>
      <c r="G10" s="27">
        <f>('Componentwise marks'!F11 + 'Componentwise marks'!J11 + 'Componentwise marks'!N11 + 'Componentwise marks'!R11 + 'Componentwise marks'!V11) / ( (Assessments!$E$2*Assessments!$B$2) + (Assessments!$E$3*Assessments!$B$3) + (Assessments!$E$4*Assessments!$B$4) + (Assessments!$E$5*Assessments!$B$5) + (Assessments!$E$6*Assessments!$B$6)) * 100</f>
        <v>68.270270270270274</v>
      </c>
      <c r="H10" s="28">
        <f>IF(G10&gt;=Assessments!$G$2*1.2, 3, IF(G10&gt;=Assessments!$G$2, 2, 1))</f>
        <v>2</v>
      </c>
      <c r="I10" s="27">
        <f>('Componentwise marks'!G11 + 'Componentwise marks'!K11 + 'Componentwise marks'!O11 + 'Componentwise marks'!S11 + 'Componentwise marks'!W11) / ( (Assessments!$F$2*Assessments!$B$2) + (Assessments!$F$3*Assessments!$B$3) + (Assessments!$F$4*Assessments!$B$4) + (Assessments!$F$5*Assessments!$B$5) + (Assessments!$F$6*Assessments!$B$6)) * 100</f>
        <v>68.270270270270274</v>
      </c>
      <c r="J10" s="28">
        <f>IF(I10&gt;=Assessments!$G$2*1.2, 3, IF(I10&gt;=Assessments!$G$2, 2, 1))</f>
        <v>2</v>
      </c>
      <c r="K10" s="27">
        <f t="shared" si="0"/>
        <v>60.247058823529407</v>
      </c>
      <c r="L10" s="29">
        <f t="shared" si="1"/>
        <v>3.3470588235294119</v>
      </c>
      <c r="M10" s="29">
        <f t="shared" si="2"/>
        <v>3.3470588235294119</v>
      </c>
      <c r="N10" s="29">
        <f t="shared" si="3"/>
        <v>48.29066666666666</v>
      </c>
      <c r="O10" s="29">
        <f t="shared" si="4"/>
        <v>10.347999999999999</v>
      </c>
      <c r="P10" s="29">
        <f t="shared" si="5"/>
        <v>10.347999999999999</v>
      </c>
      <c r="Q10" s="27">
        <f t="shared" si="6"/>
        <v>27.308108108108112</v>
      </c>
      <c r="R10" s="29">
        <f t="shared" si="7"/>
        <v>34.135135135135137</v>
      </c>
      <c r="S10" s="29">
        <f t="shared" si="8"/>
        <v>6.8270270270270279</v>
      </c>
      <c r="T10" s="29">
        <f t="shared" si="9"/>
        <v>27.308108108108112</v>
      </c>
      <c r="U10" s="29">
        <f t="shared" si="10"/>
        <v>34.135135135135137</v>
      </c>
      <c r="V10" s="29">
        <f t="shared" si="11"/>
        <v>6.8270270270270279</v>
      </c>
      <c r="W10" s="32">
        <f t="shared" si="12"/>
        <v>67.980809044338457</v>
      </c>
      <c r="X10">
        <f>IF(W10&gt;=Assessments!$G$2*1.2, 3, IF(W10&gt;=Assessments!$G$2, 2, 1))</f>
        <v>2</v>
      </c>
      <c r="Y10" s="29">
        <f t="shared" si="13"/>
        <v>68.304440911499739</v>
      </c>
      <c r="Z10">
        <f>IF(Y10&gt;=Assessments!$G$2*1.2, 3, IF(Y10&gt;=Assessments!$G$2, 2, 1))</f>
        <v>2</v>
      </c>
      <c r="AA10" s="29">
        <f t="shared" si="14"/>
        <v>68.37278219395867</v>
      </c>
      <c r="AB10">
        <f>IF(AA10&gt;=Assessments!$G$2*1.2, 3, IF(AA10&gt;=Assessments!$G$2, 2, 1))</f>
        <v>2</v>
      </c>
      <c r="AC10" s="27">
        <f>((COs!$E$2 * C10 + COs!$E$3 * E10 + COs!$E$4 * G10 + COs!$E$5 * I10) / (COs!$E$2 * Assessments!$B$2 * Assessments!$C$2 + COs!$E$3 * Assessments!$B$3 * Assessments!$D$3 + COs!$E$4 * Assessments!$B$4 * Assessments!$E$4 + COs!$E$5 * Assessments!$B$5 * Assessments!$F$5))</f>
        <v>54.207498039215679</v>
      </c>
      <c r="AD10" s="28">
        <f>IF(AC10&gt;=Assessments!$G$2*1.2, 3, IF(AC10&gt;=Assessments!$G$2, 2, 1))</f>
        <v>1</v>
      </c>
      <c r="AE10" s="27">
        <f>((COs!$E$2 * C10 + COs!$E$3 * E10 + COs!$E$4 * G10 + COs!$E$5 * I10) / (COs!$E$2 * Assessments!$B$2 * Assessments!$C$2 + COs!$E$3 * Assessments!$B$3 * Assessments!$D$3 + COs!$E$4 * Assessments!$B$4 * Assessments!$E$4 + COs!$E$5 * Assessments!$B$5 * Assessments!$F$5))</f>
        <v>54.207498039215679</v>
      </c>
      <c r="AF10" s="28">
        <f>IF(AE10&gt;=Assessments!$G$2*1.2, 3, IF(AE10&gt;=Assessments!$G$2, 2, 1))</f>
        <v>1</v>
      </c>
      <c r="AG10" s="29">
        <f>((COs!$G$2 * C10 + COs!$G$3 * E10 + COs!$G$4 * G10 + COs!$G$5 * I10) / (COs!$G$2 * Assessments!$B$2 * Assessments!$C$2 + COs!$G$3 * Assessments!$B$3 * Assessments!$D$3 + COs!$G$4 * Assessments!$B$4 * Assessments!$E$4 + COs!$G$5 * Assessments!$B$5 * Assessments!$F$5))</f>
        <v>52.424813384813376</v>
      </c>
      <c r="AH10" s="28">
        <f>IF(AG10&gt;=Assessments!$G$2*1.2, 3, IF(AG10&gt;=Assessments!$G$2, 2, 1))</f>
        <v>1</v>
      </c>
      <c r="AI10" s="29">
        <f>((COs!$H$2 * C10 + COs!$H$3 * E10 + COs!$H$4 * G10 + COs!$H$5 * I10) / (COs!$H$2 * Assessments!$B$2 * Assessments!$C$2 + COs!$H$3 * Assessments!$B$3 * Assessments!$D$3 + COs!$H$4 * Assessments!$B$4 * Assessments!$E$4 + COs!$H$5 * Assessments!$B$5 * Assessments!$F$5))</f>
        <v>31.057369975017028</v>
      </c>
      <c r="AJ10" s="28">
        <f>IF(AI10&gt;=Assessments!$G$2*1.2, 3, IF(AI10&gt;=Assessments!$G$2, 2, 1))</f>
        <v>1</v>
      </c>
      <c r="AK10" s="29">
        <f>((COs!$I$2 * C10 + COs!$I$3 * E10 + COs!$I$4 * G10 + COs!$I$5 * I10) / (COs!$I$2 * Assessments!$B$2 * Assessments!$C$2 + COs!$I$3 * Assessments!$B$3 * Assessments!$D$3 + COs!$I$4 * Assessments!$B$4 * Assessments!$E$4 + COs!$I$5 * Assessments!$B$5 * Assessments!$F$5))</f>
        <v>54.643869281045752</v>
      </c>
      <c r="AL10" s="28">
        <f>IF(AK10&gt;=Assessments!$G$2*1.2, 3, IF(AK10&gt;=Assessments!$G$2, 2, 1))</f>
        <v>1</v>
      </c>
      <c r="AM10" s="29">
        <f>((COs!$J$2 * C10 + COs!$J$3 * E10 + COs!$J$4 * G10 + COs!$J$5 * I10) / (COs!$J$2 * Assessments!$B$2 * Assessments!$C$2 + COs!$J$3 * Assessments!$B$3 * Assessments!$D$3 + COs!$J$4 * Assessments!$B$4 * Assessments!$E$4 + COs!$J$5 * Assessments!$B$5 * Assessments!$F$5))</f>
        <v>22.756756756756758</v>
      </c>
      <c r="AN10" s="28">
        <f>IF(AM10&gt;=Assessments!$G$2*1.2, 3, IF(AM10&gt;=Assessments!$G$2, 2, 1))</f>
        <v>1</v>
      </c>
      <c r="AO10" s="29">
        <f>((COs!$K$2 * C10 + COs!$K$3 * E10 + COs!$K$4 * G10 + COs!$K$5 * I10) / (COs!$K$2 * Assessments!$B$2 * Assessments!$C$2 + COs!$K$3 * Assessments!$B$3 * Assessments!$D$3 + COs!$K$4 * Assessments!$B$4 * Assessments!$E$4 + COs!$K$5 * Assessments!$B$5 * Assessments!$F$5))</f>
        <v>22.756756756756758</v>
      </c>
      <c r="AP10" s="28">
        <f>IF(AO10&gt;=Assessments!$G$2*1.2, 3, IF(AO10&gt;=Assessments!$G$2, 2, 1))</f>
        <v>1</v>
      </c>
      <c r="AQ10" s="29">
        <f>((COs!$L$2 * C10 + COs!$L$3 * E10 + COs!$L$4 * G10 + COs!$L$5 * I10) / (COs!$L$2 * Assessments!$B$2 * Assessments!$C$2 + COs!$L$3 * Assessments!$B$3 * Assessments!$D$3 + COs!$L$4 * Assessments!$B$4 * Assessments!$E$4 + COs!$L$5 * Assessments!$B$5 * Assessments!$F$5))</f>
        <v>30.342342342342345</v>
      </c>
      <c r="AR10" s="28">
        <f>IF(AQ10&gt;=Assessments!$G$2*1.2, 3, IF(AQ10&gt;=Assessments!$G$2, 2, 1))</f>
        <v>1</v>
      </c>
      <c r="AS10" s="29">
        <f>((COs!$M$2 * C10 + COs!$M$3 * E10 + COs!$M$4 * G10 + COs!$M$5 * I10) / (COs!$M$2 * Assessments!$B$2 * Assessments!$C$2 + COs!$M$3 * Assessments!$B$3 * Assessments!$D$3 + COs!$M$4 * Assessments!$B$4 * Assessments!$E$4 + COs!$M$5 * Assessments!$B$5 * Assessments!$F$5))</f>
        <v>30.342342342342345</v>
      </c>
      <c r="AT10" s="28">
        <f>IF(AS10&gt;=Assessments!$G$2*1.2, 3, IF(AS10&gt;=Assessments!$G$2, 2, 1))</f>
        <v>1</v>
      </c>
      <c r="AU10" s="29">
        <f>((COs!$N$2 * C10 + COs!$N$3 * E10 + COs!$N$4 * G10 + COs!$N$5 * I10) / (COs!$N$2 * Assessments!$B$2 * Assessments!$C$2 + COs!$N$3 * Assessments!$B$3 * Assessments!$D$3 + COs!$N$4 * Assessments!$B$4 * Assessments!$E$4 + COs!$N$5 * Assessments!$B$5 * Assessments!$F$5))</f>
        <v>41.813315940374764</v>
      </c>
      <c r="AV10" s="28">
        <f>IF(AU10&gt;=Assessments!$G$2*1.2, 3, IF(AU10&gt;=Assessments!$G$2, 2, 1))</f>
        <v>1</v>
      </c>
      <c r="AW10" s="29">
        <f>((COs!$O$2 * C10 + COs!$O$3 * E10 + COs!$O$4 * G10 + COs!$O$5 * I10) / (COs!$O$2 * Assessments!$B$2 * Assessments!$C$2 + COs!$O$3 * Assessments!$B$3 * Assessments!$D$3 + COs!$O$4 * Assessments!$B$4 * Assessments!$E$4 + COs!$O$5 * Assessments!$B$5 * Assessments!$F$5))</f>
        <v>30.968907020227775</v>
      </c>
      <c r="AX10" s="28">
        <f>IF(AW10&gt;=Assessments!$G$2*1.2, 3, IF(AW10&gt;=Assessments!$G$2, 2, 1))</f>
        <v>1</v>
      </c>
      <c r="AY10" s="29">
        <f>((COs!$P$2 * C10 + COs!$P$3 * E10 + COs!$P$4 * G10 + COs!$P$5 * I10) / (COs!$P$2 * Assessments!$B$2 * Assessments!$C$2 + COs!$P$3 * Assessments!$B$3 * Assessments!$D$3 + COs!$P$4 * Assessments!$B$4 * Assessments!$E$4 + COs!$P$5 * Assessments!$B$5 * Assessments!$F$5))</f>
        <v>27.308108108108112</v>
      </c>
      <c r="AZ10" s="28">
        <f>IF(AY10&gt;=Assessments!$G$2*1.2, 3, IF(AY10&gt;=Assessments!$G$2, 2, 1))</f>
        <v>1</v>
      </c>
      <c r="BA10" s="30"/>
      <c r="BB10" s="30"/>
    </row>
    <row r="11" spans="1:54" x14ac:dyDescent="0.25">
      <c r="A11" s="26" t="str">
        <f>'IA Marks'!B12</f>
        <v>22BSR16044</v>
      </c>
      <c r="B11" s="26" t="str">
        <f>'IA Marks'!C12</f>
        <v>KALAIVI V</v>
      </c>
      <c r="C11" s="27">
        <f>('Componentwise marks'!D12 + 'Componentwise marks'!H12 + 'Componentwise marks'!L12 + 'Componentwise marks'!P12 + 'Componentwise marks'!T12) / ( (Assessments!$C$2*Assessments!$B$2) + (Assessments!$C$3*Assessments!$B$3) + (Assessments!$C$4*Assessments!$B$4) + (Assessments!$C$5*Assessments!$B$5) + (Assessments!$C$6*Assessments!$B$6)) * 100</f>
        <v>88.588235294117638</v>
      </c>
      <c r="D11" s="28">
        <f>IF(C11&gt;=Assessments!$G$2*1.2, 3, IF(C11&gt;=Assessments!$G$2, 2, 1))</f>
        <v>3</v>
      </c>
      <c r="E11" s="27">
        <f>('Componentwise marks'!E12 + 'Componentwise marks'!I12 + 'Componentwise marks'!M12 + 'Componentwise marks'!Q12 + 'Componentwise marks'!U12) / ( (Assessments!$D$2*Assessments!$B$2) + (Assessments!$D$3*Assessments!$B$3) + (Assessments!$D$4*Assessments!$B$4) + (Assessments!$D$5*Assessments!$B$5) + (Assessments!$D$6*Assessments!$B$6)) * 100</f>
        <v>84.773333333333341</v>
      </c>
      <c r="F11" s="28">
        <f>IF(E11&gt;=Assessments!$G$2*1.2, 3, IF(E11&gt;=Assessments!$G$2, 2, 1))</f>
        <v>3</v>
      </c>
      <c r="G11" s="27">
        <f>('Componentwise marks'!F12 + 'Componentwise marks'!J12 + 'Componentwise marks'!N12 + 'Componentwise marks'!R12 + 'Componentwise marks'!V12) / ( (Assessments!$E$2*Assessments!$B$2) + (Assessments!$E$3*Assessments!$B$3) + (Assessments!$E$4*Assessments!$B$4) + (Assessments!$E$5*Assessments!$B$5) + (Assessments!$E$6*Assessments!$B$6)) * 100</f>
        <v>86.540540540540533</v>
      </c>
      <c r="H11" s="28">
        <f>IF(G11&gt;=Assessments!$G$2*1.2, 3, IF(G11&gt;=Assessments!$G$2, 2, 1))</f>
        <v>3</v>
      </c>
      <c r="I11" s="27">
        <f>('Componentwise marks'!G12 + 'Componentwise marks'!K12 + 'Componentwise marks'!O12 + 'Componentwise marks'!S12 + 'Componentwise marks'!W12) / ( (Assessments!$F$2*Assessments!$B$2) + (Assessments!$F$3*Assessments!$B$3) + (Assessments!$F$4*Assessments!$B$4) + (Assessments!$F$5*Assessments!$B$5) + (Assessments!$F$6*Assessments!$B$6)) * 100</f>
        <v>86.540540540540533</v>
      </c>
      <c r="J11" s="28">
        <f>IF(I11&gt;=Assessments!$G$2*1.2, 3, IF(I11&gt;=Assessments!$G$2, 2, 1))</f>
        <v>3</v>
      </c>
      <c r="K11" s="27">
        <f t="shared" si="0"/>
        <v>79.729411764705873</v>
      </c>
      <c r="L11" s="29">
        <f t="shared" si="1"/>
        <v>4.4294117647058817</v>
      </c>
      <c r="M11" s="29">
        <f t="shared" si="2"/>
        <v>4.4294117647058817</v>
      </c>
      <c r="N11" s="29">
        <f t="shared" si="3"/>
        <v>59.341333333333331</v>
      </c>
      <c r="O11" s="29">
        <f t="shared" si="4"/>
        <v>12.716000000000001</v>
      </c>
      <c r="P11" s="29">
        <f t="shared" si="5"/>
        <v>12.716000000000001</v>
      </c>
      <c r="Q11" s="27">
        <f t="shared" si="6"/>
        <v>34.616216216216216</v>
      </c>
      <c r="R11" s="29">
        <f t="shared" si="7"/>
        <v>43.270270270270267</v>
      </c>
      <c r="S11" s="29">
        <f t="shared" si="8"/>
        <v>8.654054054054054</v>
      </c>
      <c r="T11" s="29">
        <f t="shared" si="9"/>
        <v>34.616216216216216</v>
      </c>
      <c r="U11" s="29">
        <f t="shared" si="10"/>
        <v>43.270270270270267</v>
      </c>
      <c r="V11" s="29">
        <f t="shared" si="11"/>
        <v>8.654054054054054</v>
      </c>
      <c r="W11" s="32">
        <f t="shared" si="12"/>
        <v>86.792990637696533</v>
      </c>
      <c r="X11">
        <f>IF(W11&gt;=Assessments!$G$2*1.2, 3, IF(W11&gt;=Assessments!$G$2, 2, 1))</f>
        <v>3</v>
      </c>
      <c r="Y11" s="29">
        <f t="shared" si="13"/>
        <v>86.404960254372014</v>
      </c>
      <c r="Z11">
        <f>IF(Y11&gt;=Assessments!$G$2*1.2, 3, IF(Y11&gt;=Assessments!$G$2, 2, 1))</f>
        <v>3</v>
      </c>
      <c r="AA11" s="29">
        <f t="shared" si="14"/>
        <v>86.133799682034976</v>
      </c>
      <c r="AB11">
        <f>IF(AA11&gt;=Assessments!$G$2*1.2, 3, IF(AA11&gt;=Assessments!$G$2, 2, 1))</f>
        <v>3</v>
      </c>
      <c r="AC11" s="27">
        <f>((COs!$E$2 * C11 + COs!$E$3 * E11 + COs!$E$4 * G11 + COs!$E$5 * I11) / (COs!$E$2 * Assessments!$B$2 * Assessments!$C$2 + COs!$E$3 * Assessments!$B$3 * Assessments!$D$3 + COs!$E$4 * Assessments!$B$4 * Assessments!$E$4 + COs!$E$5 * Assessments!$B$5 * Assessments!$F$5))</f>
        <v>69.649819607843142</v>
      </c>
      <c r="AD11" s="28">
        <f>IF(AC11&gt;=Assessments!$G$2*1.2, 3, IF(AC11&gt;=Assessments!$G$2, 2, 1))</f>
        <v>2</v>
      </c>
      <c r="AE11" s="27">
        <f>((COs!$E$2 * C11 + COs!$E$3 * E11 + COs!$E$4 * G11 + COs!$E$5 * I11) / (COs!$E$2 * Assessments!$B$2 * Assessments!$C$2 + COs!$E$3 * Assessments!$B$3 * Assessments!$D$3 + COs!$E$4 * Assessments!$B$4 * Assessments!$E$4 + COs!$E$5 * Assessments!$B$5 * Assessments!$F$5))</f>
        <v>69.649819607843142</v>
      </c>
      <c r="AF11" s="28">
        <f>IF(AE11&gt;=Assessments!$G$2*1.2, 3, IF(AE11&gt;=Assessments!$G$2, 2, 1))</f>
        <v>2</v>
      </c>
      <c r="AG11" s="29">
        <f>((COs!$G$2 * C11 + COs!$G$3 * E11 + COs!$G$4 * G11 + COs!$G$5 * I11) / (COs!$G$2 * Assessments!$B$2 * Assessments!$C$2 + COs!$G$3 * Assessments!$B$3 * Assessments!$D$3 + COs!$G$4 * Assessments!$B$4 * Assessments!$E$4 + COs!$G$5 * Assessments!$B$5 * Assessments!$F$5))</f>
        <v>64.925817245817257</v>
      </c>
      <c r="AH11" s="28">
        <f>IF(AG11&gt;=Assessments!$G$2*1.2, 3, IF(AG11&gt;=Assessments!$G$2, 2, 1))</f>
        <v>1</v>
      </c>
      <c r="AI11" s="29">
        <f>((COs!$H$2 * C11 + COs!$H$3 * E11 + COs!$H$4 * G11 + COs!$H$5 * I11) / (COs!$H$2 * Assessments!$B$2 * Assessments!$C$2 + COs!$H$3 * Assessments!$B$3 * Assessments!$D$3 + COs!$H$4 * Assessments!$B$4 * Assessments!$E$4 + COs!$H$5 * Assessments!$B$5 * Assessments!$F$5))</f>
        <v>39.795412218941628</v>
      </c>
      <c r="AJ11" s="28">
        <f>IF(AI11&gt;=Assessments!$G$2*1.2, 3, IF(AI11&gt;=Assessments!$G$2, 2, 1))</f>
        <v>1</v>
      </c>
      <c r="AK11" s="29">
        <f>((COs!$I$2 * C11 + COs!$I$3 * E11 + COs!$I$4 * G11 + COs!$I$5 * I11) / (COs!$I$2 * Assessments!$B$2 * Assessments!$C$2 + COs!$I$3 * Assessments!$B$3 * Assessments!$D$3 + COs!$I$4 * Assessments!$B$4 * Assessments!$E$4 + COs!$I$5 * Assessments!$B$5 * Assessments!$F$5))</f>
        <v>68.835973856209151</v>
      </c>
      <c r="AL11" s="28">
        <f>IF(AK11&gt;=Assessments!$G$2*1.2, 3, IF(AK11&gt;=Assessments!$G$2, 2, 1))</f>
        <v>2</v>
      </c>
      <c r="AM11" s="29">
        <f>((COs!$J$2 * C11 + COs!$J$3 * E11 + COs!$J$4 * G11 + COs!$J$5 * I11) / (COs!$J$2 * Assessments!$B$2 * Assessments!$C$2 + COs!$J$3 * Assessments!$B$3 * Assessments!$D$3 + COs!$J$4 * Assessments!$B$4 * Assessments!$E$4 + COs!$J$5 * Assessments!$B$5 * Assessments!$F$5))</f>
        <v>28.846846846846844</v>
      </c>
      <c r="AN11" s="28">
        <f>IF(AM11&gt;=Assessments!$G$2*1.2, 3, IF(AM11&gt;=Assessments!$G$2, 2, 1))</f>
        <v>1</v>
      </c>
      <c r="AO11" s="29">
        <f>((COs!$K$2 * C11 + COs!$K$3 * E11 + COs!$K$4 * G11 + COs!$K$5 * I11) / (COs!$K$2 * Assessments!$B$2 * Assessments!$C$2 + COs!$K$3 * Assessments!$B$3 * Assessments!$D$3 + COs!$K$4 * Assessments!$B$4 * Assessments!$E$4 + COs!$K$5 * Assessments!$B$5 * Assessments!$F$5))</f>
        <v>28.846846846846844</v>
      </c>
      <c r="AP11" s="28">
        <f>IF(AO11&gt;=Assessments!$G$2*1.2, 3, IF(AO11&gt;=Assessments!$G$2, 2, 1))</f>
        <v>1</v>
      </c>
      <c r="AQ11" s="29">
        <f>((COs!$L$2 * C11 + COs!$L$3 * E11 + COs!$L$4 * G11 + COs!$L$5 * I11) / (COs!$L$2 * Assessments!$B$2 * Assessments!$C$2 + COs!$L$3 * Assessments!$B$3 * Assessments!$D$3 + COs!$L$4 * Assessments!$B$4 * Assessments!$E$4 + COs!$L$5 * Assessments!$B$5 * Assessments!$F$5))</f>
        <v>38.462462462462462</v>
      </c>
      <c r="AR11" s="28">
        <f>IF(AQ11&gt;=Assessments!$G$2*1.2, 3, IF(AQ11&gt;=Assessments!$G$2, 2, 1))</f>
        <v>1</v>
      </c>
      <c r="AS11" s="29">
        <f>((COs!$M$2 * C11 + COs!$M$3 * E11 + COs!$M$4 * G11 + COs!$M$5 * I11) / (COs!$M$2 * Assessments!$B$2 * Assessments!$C$2 + COs!$M$3 * Assessments!$B$3 * Assessments!$D$3 + COs!$M$4 * Assessments!$B$4 * Assessments!$E$4 + COs!$M$5 * Assessments!$B$5 * Assessments!$F$5))</f>
        <v>38.462462462462462</v>
      </c>
      <c r="AT11" s="28">
        <f>IF(AS11&gt;=Assessments!$G$2*1.2, 3, IF(AS11&gt;=Assessments!$G$2, 2, 1))</f>
        <v>1</v>
      </c>
      <c r="AU11" s="29">
        <f>((COs!$N$2 * C11 + COs!$N$3 * E11 + COs!$N$4 * G11 + COs!$N$5 * I11) / (COs!$N$2 * Assessments!$B$2 * Assessments!$C$2 + COs!$N$3 * Assessments!$B$3 * Assessments!$D$3 + COs!$N$4 * Assessments!$B$4 * Assessments!$E$4 + COs!$N$5 * Assessments!$B$5 * Assessments!$F$5))</f>
        <v>53.494505183916949</v>
      </c>
      <c r="AV11" s="28">
        <f>IF(AU11&gt;=Assessments!$G$2*1.2, 3, IF(AU11&gt;=Assessments!$G$2, 2, 1))</f>
        <v>1</v>
      </c>
      <c r="AW11" s="29">
        <f>((COs!$O$2 * C11 + COs!$O$3 * E11 + COs!$O$4 * G11 + COs!$O$5 * I11) / (COs!$O$2 * Assessments!$B$2 * Assessments!$C$2 + COs!$O$3 * Assessments!$B$3 * Assessments!$D$3 + COs!$O$4 * Assessments!$B$4 * Assessments!$E$4 + COs!$O$5 * Assessments!$B$5 * Assessments!$F$5))</f>
        <v>39.054795172531023</v>
      </c>
      <c r="AX11" s="28">
        <f>IF(AW11&gt;=Assessments!$G$2*1.2, 3, IF(AW11&gt;=Assessments!$G$2, 2, 1))</f>
        <v>1</v>
      </c>
      <c r="AY11" s="29">
        <f>((COs!$P$2 * C11 + COs!$P$3 * E11 + COs!$P$4 * G11 + COs!$P$5 * I11) / (COs!$P$2 * Assessments!$B$2 * Assessments!$C$2 + COs!$P$3 * Assessments!$B$3 * Assessments!$D$3 + COs!$P$4 * Assessments!$B$4 * Assessments!$E$4 + COs!$P$5 * Assessments!$B$5 * Assessments!$F$5))</f>
        <v>34.616216216216216</v>
      </c>
      <c r="AZ11" s="28">
        <f>IF(AY11&gt;=Assessments!$G$2*1.2, 3, IF(AY11&gt;=Assessments!$G$2, 2, 1))</f>
        <v>1</v>
      </c>
      <c r="BA11" s="30"/>
      <c r="BB11" s="30"/>
    </row>
    <row r="12" spans="1:54" x14ac:dyDescent="0.25">
      <c r="A12" s="26" t="str">
        <f>'IA Marks'!B13</f>
        <v>22BSR16073</v>
      </c>
      <c r="B12" s="26" t="str">
        <f>'IA Marks'!C13</f>
        <v>MANISH D</v>
      </c>
      <c r="C12" s="27">
        <f>('Componentwise marks'!D13 + 'Componentwise marks'!H13 + 'Componentwise marks'!L13 + 'Componentwise marks'!P13 + 'Componentwise marks'!T13) / ( (Assessments!$C$2*Assessments!$B$2) + (Assessments!$C$3*Assessments!$B$3) + (Assessments!$C$4*Assessments!$B$4) + (Assessments!$C$5*Assessments!$B$5) + (Assessments!$C$6*Assessments!$B$6)) * 100</f>
        <v>77.490196078431367</v>
      </c>
      <c r="D12" s="28">
        <f>IF(C12&gt;=Assessments!$G$2*1.2, 3, IF(C12&gt;=Assessments!$G$2, 2, 1))</f>
        <v>2</v>
      </c>
      <c r="E12" s="27">
        <f>('Componentwise marks'!E13 + 'Componentwise marks'!I13 + 'Componentwise marks'!M13 + 'Componentwise marks'!Q13 + 'Componentwise marks'!U13) / ( (Assessments!$D$2*Assessments!$B$2) + (Assessments!$D$3*Assessments!$B$3) + (Assessments!$D$4*Assessments!$B$4) + (Assessments!$D$5*Assessments!$B$5) + (Assessments!$D$6*Assessments!$B$6)) * 100</f>
        <v>77.226666666666659</v>
      </c>
      <c r="F12" s="28">
        <f>IF(E12&gt;=Assessments!$G$2*1.2, 3, IF(E12&gt;=Assessments!$G$2, 2, 1))</f>
        <v>2</v>
      </c>
      <c r="G12" s="27">
        <f>('Componentwise marks'!F13 + 'Componentwise marks'!J13 + 'Componentwise marks'!N13 + 'Componentwise marks'!R13 + 'Componentwise marks'!V13) / ( (Assessments!$E$2*Assessments!$B$2) + (Assessments!$E$3*Assessments!$B$3) + (Assessments!$E$4*Assessments!$B$4) + (Assessments!$E$5*Assessments!$B$5) + (Assessments!$E$6*Assessments!$B$6)) * 100</f>
        <v>75.351351351351354</v>
      </c>
      <c r="H12" s="28">
        <f>IF(G12&gt;=Assessments!$G$2*1.2, 3, IF(G12&gt;=Assessments!$G$2, 2, 1))</f>
        <v>2</v>
      </c>
      <c r="I12" s="27">
        <f>('Componentwise marks'!G13 + 'Componentwise marks'!K13 + 'Componentwise marks'!O13 + 'Componentwise marks'!S13 + 'Componentwise marks'!W13) / ( (Assessments!$F$2*Assessments!$B$2) + (Assessments!$F$3*Assessments!$B$3) + (Assessments!$F$4*Assessments!$B$4) + (Assessments!$F$5*Assessments!$B$5) + (Assessments!$F$6*Assessments!$B$6)) * 100</f>
        <v>75.351351351351354</v>
      </c>
      <c r="J12" s="28">
        <f>IF(I12&gt;=Assessments!$G$2*1.2, 3, IF(I12&gt;=Assessments!$G$2, 2, 1))</f>
        <v>2</v>
      </c>
      <c r="K12" s="27">
        <f t="shared" si="0"/>
        <v>69.741176470588229</v>
      </c>
      <c r="L12" s="29">
        <f t="shared" si="1"/>
        <v>3.8745098039215686</v>
      </c>
      <c r="M12" s="29">
        <f t="shared" si="2"/>
        <v>3.8745098039215686</v>
      </c>
      <c r="N12" s="29">
        <f t="shared" si="3"/>
        <v>54.05866666666666</v>
      </c>
      <c r="O12" s="29">
        <f t="shared" si="4"/>
        <v>11.583999999999998</v>
      </c>
      <c r="P12" s="29">
        <f t="shared" si="5"/>
        <v>11.583999999999998</v>
      </c>
      <c r="Q12" s="27">
        <f t="shared" si="6"/>
        <v>30.140540540540542</v>
      </c>
      <c r="R12" s="29">
        <f t="shared" si="7"/>
        <v>37.675675675675677</v>
      </c>
      <c r="S12" s="29">
        <f t="shared" si="8"/>
        <v>7.5351351351351354</v>
      </c>
      <c r="T12" s="29">
        <f t="shared" si="9"/>
        <v>30.140540540540542</v>
      </c>
      <c r="U12" s="29">
        <f t="shared" si="10"/>
        <v>37.675675675675677</v>
      </c>
      <c r="V12" s="29">
        <f t="shared" si="11"/>
        <v>7.5351351351351354</v>
      </c>
      <c r="W12" s="32">
        <f t="shared" si="12"/>
        <v>76.700385090973327</v>
      </c>
      <c r="X12">
        <f>IF(W12&gt;=Assessments!$G$2*1.2, 3, IF(W12&gt;=Assessments!$G$2, 2, 1))</f>
        <v>2</v>
      </c>
      <c r="Y12" s="29">
        <f t="shared" si="13"/>
        <v>75.674884296060782</v>
      </c>
      <c r="Z12">
        <f>IF(Y12&gt;=Assessments!$G$2*1.2, 3, IF(Y12&gt;=Assessments!$G$2, 2, 1))</f>
        <v>2</v>
      </c>
      <c r="AA12" s="29">
        <f t="shared" si="14"/>
        <v>76.321950185479579</v>
      </c>
      <c r="AB12">
        <f>IF(AA12&gt;=Assessments!$G$2*1.2, 3, IF(AA12&gt;=Assessments!$G$2, 2, 1))</f>
        <v>2</v>
      </c>
      <c r="AC12" s="27">
        <f>((COs!$E$2 * C12 + COs!$E$3 * E12 + COs!$E$4 * G12 + COs!$E$5 * I12) / (COs!$E$2 * Assessments!$B$2 * Assessments!$C$2 + COs!$E$3 * Assessments!$B$3 * Assessments!$D$3 + COs!$E$4 * Assessments!$B$4 * Assessments!$E$4 + COs!$E$5 * Assessments!$B$5 * Assessments!$F$5))</f>
        <v>61.907827450980385</v>
      </c>
      <c r="AD12" s="28">
        <f>IF(AC12&gt;=Assessments!$G$2*1.2, 3, IF(AC12&gt;=Assessments!$G$2, 2, 1))</f>
        <v>1</v>
      </c>
      <c r="AE12" s="27">
        <f>((COs!$E$2 * C12 + COs!$E$3 * E12 + COs!$E$4 * G12 + COs!$E$5 * I12) / (COs!$E$2 * Assessments!$B$2 * Assessments!$C$2 + COs!$E$3 * Assessments!$B$3 * Assessments!$D$3 + COs!$E$4 * Assessments!$B$4 * Assessments!$E$4 + COs!$E$5 * Assessments!$B$5 * Assessments!$F$5))</f>
        <v>61.907827450980385</v>
      </c>
      <c r="AF12" s="28">
        <f>IF(AE12&gt;=Assessments!$G$2*1.2, 3, IF(AE12&gt;=Assessments!$G$2, 2, 1))</f>
        <v>1</v>
      </c>
      <c r="AG12" s="29">
        <f>((COs!$G$2 * C12 + COs!$G$3 * E12 + COs!$G$4 * G12 + COs!$G$5 * I12) / (COs!$G$2 * Assessments!$B$2 * Assessments!$C$2 + COs!$G$3 * Assessments!$B$3 * Assessments!$D$3 + COs!$G$4 * Assessments!$B$4 * Assessments!$E$4 + COs!$G$5 * Assessments!$B$5 * Assessments!$F$5))</f>
        <v>58.482162162162155</v>
      </c>
      <c r="AH12" s="28">
        <f>IF(AG12&gt;=Assessments!$G$2*1.2, 3, IF(AG12&gt;=Assessments!$G$2, 2, 1))</f>
        <v>1</v>
      </c>
      <c r="AI12" s="29">
        <f>((COs!$H$2 * C12 + COs!$H$3 * E12 + COs!$H$4 * G12 + COs!$H$5 * I12) / (COs!$H$2 * Assessments!$B$2 * Assessments!$C$2 + COs!$H$3 * Assessments!$B$3 * Assessments!$D$3 + COs!$H$4 * Assessments!$B$4 * Assessments!$E$4 + COs!$H$5 * Assessments!$B$5 * Assessments!$F$5))</f>
        <v>34.69077144371262</v>
      </c>
      <c r="AJ12" s="28">
        <f>IF(AI12&gt;=Assessments!$G$2*1.2, 3, IF(AI12&gt;=Assessments!$G$2, 2, 1))</f>
        <v>1</v>
      </c>
      <c r="AK12" s="29">
        <f>((COs!$I$2 * C12 + COs!$I$3 * E12 + COs!$I$4 * G12 + COs!$I$5 * I12) / (COs!$I$2 * Assessments!$B$2 * Assessments!$C$2 + COs!$I$3 * Assessments!$B$3 * Assessments!$D$3 + COs!$I$4 * Assessments!$B$4 * Assessments!$E$4 + COs!$I$5 * Assessments!$B$5 * Assessments!$F$5))</f>
        <v>61.851607843137252</v>
      </c>
      <c r="AL12" s="28">
        <f>IF(AK12&gt;=Assessments!$G$2*1.2, 3, IF(AK12&gt;=Assessments!$G$2, 2, 1))</f>
        <v>1</v>
      </c>
      <c r="AM12" s="29">
        <f>((COs!$J$2 * C12 + COs!$J$3 * E12 + COs!$J$4 * G12 + COs!$J$5 * I12) / (COs!$J$2 * Assessments!$B$2 * Assessments!$C$2 + COs!$J$3 * Assessments!$B$3 * Assessments!$D$3 + COs!$J$4 * Assessments!$B$4 * Assessments!$E$4 + COs!$J$5 * Assessments!$B$5 * Assessments!$F$5))</f>
        <v>25.117117117117118</v>
      </c>
      <c r="AN12" s="28">
        <f>IF(AM12&gt;=Assessments!$G$2*1.2, 3, IF(AM12&gt;=Assessments!$G$2, 2, 1))</f>
        <v>1</v>
      </c>
      <c r="AO12" s="29">
        <f>((COs!$K$2 * C12 + COs!$K$3 * E12 + COs!$K$4 * G12 + COs!$K$5 * I12) / (COs!$K$2 * Assessments!$B$2 * Assessments!$C$2 + COs!$K$3 * Assessments!$B$3 * Assessments!$D$3 + COs!$K$4 * Assessments!$B$4 * Assessments!$E$4 + COs!$K$5 * Assessments!$B$5 * Assessments!$F$5))</f>
        <v>25.117117117117118</v>
      </c>
      <c r="AP12" s="28">
        <f>IF(AO12&gt;=Assessments!$G$2*1.2, 3, IF(AO12&gt;=Assessments!$G$2, 2, 1))</f>
        <v>1</v>
      </c>
      <c r="AQ12" s="29">
        <f>((COs!$L$2 * C12 + COs!$L$3 * E12 + COs!$L$4 * G12 + COs!$L$5 * I12) / (COs!$L$2 * Assessments!$B$2 * Assessments!$C$2 + COs!$L$3 * Assessments!$B$3 * Assessments!$D$3 + COs!$L$4 * Assessments!$B$4 * Assessments!$E$4 + COs!$L$5 * Assessments!$B$5 * Assessments!$F$5))</f>
        <v>33.489489489489493</v>
      </c>
      <c r="AR12" s="28">
        <f>IF(AQ12&gt;=Assessments!$G$2*1.2, 3, IF(AQ12&gt;=Assessments!$G$2, 2, 1))</f>
        <v>1</v>
      </c>
      <c r="AS12" s="29">
        <f>((COs!$M$2 * C12 + COs!$M$3 * E12 + COs!$M$4 * G12 + COs!$M$5 * I12) / (COs!$M$2 * Assessments!$B$2 * Assessments!$C$2 + COs!$M$3 * Assessments!$B$3 * Assessments!$D$3 + COs!$M$4 * Assessments!$B$4 * Assessments!$E$4 + COs!$M$5 * Assessments!$B$5 * Assessments!$F$5))</f>
        <v>33.489489489489493</v>
      </c>
      <c r="AT12" s="28">
        <f>IF(AS12&gt;=Assessments!$G$2*1.2, 3, IF(AS12&gt;=Assessments!$G$2, 2, 1))</f>
        <v>1</v>
      </c>
      <c r="AU12" s="29">
        <f>((COs!$N$2 * C12 + COs!$N$3 * E12 + COs!$N$4 * G12 + COs!$N$5 * I12) / (COs!$N$2 * Assessments!$B$2 * Assessments!$C$2 + COs!$N$3 * Assessments!$B$3 * Assessments!$D$3 + COs!$N$4 * Assessments!$B$4 * Assessments!$E$4 + COs!$N$5 * Assessments!$B$5 * Assessments!$F$5))</f>
        <v>47.001139782316251</v>
      </c>
      <c r="AV12" s="28">
        <f>IF(AU12&gt;=Assessments!$G$2*1.2, 3, IF(AU12&gt;=Assessments!$G$2, 2, 1))</f>
        <v>1</v>
      </c>
      <c r="AW12" s="29">
        <f>((COs!$O$2 * C12 + COs!$O$3 * E12 + COs!$O$4 * G12 + COs!$O$5 * I12) / (COs!$O$2 * Assessments!$B$2 * Assessments!$C$2 + COs!$O$3 * Assessments!$B$3 * Assessments!$D$3 + COs!$O$4 * Assessments!$B$4 * Assessments!$E$4 + COs!$O$5 * Assessments!$B$5 * Assessments!$F$5))</f>
        <v>34.262899881013091</v>
      </c>
      <c r="AX12" s="28">
        <f>IF(AW12&gt;=Assessments!$G$2*1.2, 3, IF(AW12&gt;=Assessments!$G$2, 2, 1))</f>
        <v>1</v>
      </c>
      <c r="AY12" s="29">
        <f>((COs!$P$2 * C12 + COs!$P$3 * E12 + COs!$P$4 * G12 + COs!$P$5 * I12) / (COs!$P$2 * Assessments!$B$2 * Assessments!$C$2 + COs!$P$3 * Assessments!$B$3 * Assessments!$D$3 + COs!$P$4 * Assessments!$B$4 * Assessments!$E$4 + COs!$P$5 * Assessments!$B$5 * Assessments!$F$5))</f>
        <v>30.140540540540542</v>
      </c>
      <c r="AZ12" s="28">
        <f>IF(AY12&gt;=Assessments!$G$2*1.2, 3, IF(AY12&gt;=Assessments!$G$2, 2, 1))</f>
        <v>1</v>
      </c>
      <c r="BA12" s="30"/>
      <c r="BB12" s="30"/>
    </row>
    <row r="13" spans="1:54" x14ac:dyDescent="0.25">
      <c r="A13" s="26" t="str">
        <f>'IA Marks'!B14</f>
        <v>22BSR16075</v>
      </c>
      <c r="B13" s="26" t="str">
        <f>'IA Marks'!C14</f>
        <v>GOPIKA SURESH</v>
      </c>
      <c r="C13" s="27">
        <f>('Componentwise marks'!D14 + 'Componentwise marks'!H14 + 'Componentwise marks'!L14 + 'Componentwise marks'!P14 + 'Componentwise marks'!T14) / ( (Assessments!$C$2*Assessments!$B$2) + (Assessments!$C$3*Assessments!$B$3) + (Assessments!$C$4*Assessments!$B$4) + (Assessments!$C$5*Assessments!$B$5) + (Assessments!$C$6*Assessments!$B$6)) * 100</f>
        <v>91.215686274509807</v>
      </c>
      <c r="D13" s="28">
        <f>IF(C13&gt;=Assessments!$G$2*1.2, 3, IF(C13&gt;=Assessments!$G$2, 2, 1))</f>
        <v>3</v>
      </c>
      <c r="E13" s="27">
        <f>('Componentwise marks'!E14 + 'Componentwise marks'!I14 + 'Componentwise marks'!M14 + 'Componentwise marks'!Q14 + 'Componentwise marks'!U14) / ( (Assessments!$D$2*Assessments!$B$2) + (Assessments!$D$3*Assessments!$B$3) + (Assessments!$D$4*Assessments!$B$4) + (Assessments!$D$5*Assessments!$B$5) + (Assessments!$D$6*Assessments!$B$6)) * 100</f>
        <v>86.56</v>
      </c>
      <c r="F13" s="28">
        <f>IF(E13&gt;=Assessments!$G$2*1.2, 3, IF(E13&gt;=Assessments!$G$2, 2, 1))</f>
        <v>3</v>
      </c>
      <c r="G13" s="27">
        <f>('Componentwise marks'!F14 + 'Componentwise marks'!J14 + 'Componentwise marks'!N14 + 'Componentwise marks'!R14 + 'Componentwise marks'!V14) / ( (Assessments!$E$2*Assessments!$B$2) + (Assessments!$E$3*Assessments!$B$3) + (Assessments!$E$4*Assessments!$B$4) + (Assessments!$E$5*Assessments!$B$5) + (Assessments!$E$6*Assessments!$B$6)) * 100</f>
        <v>88.86486486486487</v>
      </c>
      <c r="H13" s="28">
        <f>IF(G13&gt;=Assessments!$G$2*1.2, 3, IF(G13&gt;=Assessments!$G$2, 2, 1))</f>
        <v>3</v>
      </c>
      <c r="I13" s="27">
        <f>('Componentwise marks'!G14 + 'Componentwise marks'!K14 + 'Componentwise marks'!O14 + 'Componentwise marks'!S14 + 'Componentwise marks'!W14) / ( (Assessments!$F$2*Assessments!$B$2) + (Assessments!$F$3*Assessments!$B$3) + (Assessments!$F$4*Assessments!$B$4) + (Assessments!$F$5*Assessments!$B$5) + (Assessments!$F$6*Assessments!$B$6)) * 100</f>
        <v>88.86486486486487</v>
      </c>
      <c r="J13" s="28">
        <f>IF(I13&gt;=Assessments!$G$2*1.2, 3, IF(I13&gt;=Assessments!$G$2, 2, 1))</f>
        <v>3</v>
      </c>
      <c r="K13" s="27">
        <f t="shared" si="0"/>
        <v>82.094117647058823</v>
      </c>
      <c r="L13" s="29">
        <f t="shared" si="1"/>
        <v>4.5607843137254909</v>
      </c>
      <c r="M13" s="29">
        <f t="shared" si="2"/>
        <v>4.5607843137254909</v>
      </c>
      <c r="N13" s="29">
        <f t="shared" si="3"/>
        <v>60.591999999999999</v>
      </c>
      <c r="O13" s="29">
        <f t="shared" si="4"/>
        <v>12.984</v>
      </c>
      <c r="P13" s="29">
        <f t="shared" si="5"/>
        <v>12.984</v>
      </c>
      <c r="Q13" s="27">
        <f t="shared" si="6"/>
        <v>35.545945945945952</v>
      </c>
      <c r="R13" s="29">
        <f t="shared" si="7"/>
        <v>44.432432432432435</v>
      </c>
      <c r="S13" s="29">
        <f t="shared" si="8"/>
        <v>8.8864864864864881</v>
      </c>
      <c r="T13" s="29">
        <f t="shared" si="9"/>
        <v>35.545945945945952</v>
      </c>
      <c r="U13" s="29">
        <f t="shared" si="10"/>
        <v>44.432432432432435</v>
      </c>
      <c r="V13" s="29">
        <f t="shared" si="11"/>
        <v>8.8864864864864881</v>
      </c>
      <c r="W13" s="32">
        <f t="shared" si="12"/>
        <v>89.074170641229486</v>
      </c>
      <c r="X13">
        <f>IF(W13&gt;=Assessments!$G$2*1.2, 3, IF(W13&gt;=Assessments!$G$2, 2, 1))</f>
        <v>3</v>
      </c>
      <c r="Y13" s="29">
        <f t="shared" si="13"/>
        <v>88.674707648825304</v>
      </c>
      <c r="Z13">
        <f>IF(Y13&gt;=Assessments!$G$2*1.2, 3, IF(Y13&gt;=Assessments!$G$2, 2, 1))</f>
        <v>3</v>
      </c>
      <c r="AA13" s="29">
        <f t="shared" si="14"/>
        <v>88.294393216746158</v>
      </c>
      <c r="AB13">
        <f>IF(AA13&gt;=Assessments!$G$2*1.2, 3, IF(AA13&gt;=Assessments!$G$2, 2, 1))</f>
        <v>3</v>
      </c>
      <c r="AC13" s="27">
        <f>((COs!$E$2 * C13 + COs!$E$3 * E13 + COs!$E$4 * G13 + COs!$E$5 * I13) / (COs!$E$2 * Assessments!$B$2 * Assessments!$C$2 + COs!$E$3 * Assessments!$B$3 * Assessments!$D$3 + COs!$E$4 * Assessments!$B$4 * Assessments!$E$4 + COs!$E$5 * Assessments!$B$5 * Assessments!$F$5))</f>
        <v>71.482729411764709</v>
      </c>
      <c r="AD13" s="28">
        <f>IF(AC13&gt;=Assessments!$G$2*1.2, 3, IF(AC13&gt;=Assessments!$G$2, 2, 1))</f>
        <v>2</v>
      </c>
      <c r="AE13" s="27">
        <f>((COs!$E$2 * C13 + COs!$E$3 * E13 + COs!$E$4 * G13 + COs!$E$5 * I13) / (COs!$E$2 * Assessments!$B$2 * Assessments!$C$2 + COs!$E$3 * Assessments!$B$3 * Assessments!$D$3 + COs!$E$4 * Assessments!$B$4 * Assessments!$E$4 + COs!$E$5 * Assessments!$B$5 * Assessments!$F$5))</f>
        <v>71.482729411764709</v>
      </c>
      <c r="AF13" s="28">
        <f>IF(AE13&gt;=Assessments!$G$2*1.2, 3, IF(AE13&gt;=Assessments!$G$2, 2, 1))</f>
        <v>2</v>
      </c>
      <c r="AG13" s="29">
        <f>((COs!$G$2 * C13 + COs!$G$3 * E13 + COs!$G$4 * G13 + COs!$G$5 * I13) / (COs!$G$2 * Assessments!$B$2 * Assessments!$C$2 + COs!$G$3 * Assessments!$B$3 * Assessments!$D$3 + COs!$G$4 * Assessments!$B$4 * Assessments!$E$4 + COs!$G$5 * Assessments!$B$5 * Assessments!$F$5))</f>
        <v>66.38949806949806</v>
      </c>
      <c r="AH13" s="28">
        <f>IF(AG13&gt;=Assessments!$G$2*1.2, 3, IF(AG13&gt;=Assessments!$G$2, 2, 1))</f>
        <v>2</v>
      </c>
      <c r="AI13" s="29">
        <f>((COs!$H$2 * C13 + COs!$H$3 * E13 + COs!$H$4 * G13 + COs!$H$5 * I13) / (COs!$H$2 * Assessments!$B$2 * Assessments!$C$2 + COs!$H$3 * Assessments!$B$3 * Assessments!$D$3 + COs!$H$4 * Assessments!$B$4 * Assessments!$E$4 + COs!$H$5 * Assessments!$B$5 * Assessments!$F$5))</f>
        <v>40.892603527897649</v>
      </c>
      <c r="AJ13" s="28">
        <f>IF(AI13&gt;=Assessments!$G$2*1.2, 3, IF(AI13&gt;=Assessments!$G$2, 2, 1))</f>
        <v>1</v>
      </c>
      <c r="AK13" s="29">
        <f>((COs!$I$2 * C13 + COs!$I$3 * E13 + COs!$I$4 * G13 + COs!$I$5 * I13) / (COs!$I$2 * Assessments!$B$2 * Assessments!$C$2 + COs!$I$3 * Assessments!$B$3 * Assessments!$D$3 + COs!$I$4 * Assessments!$B$4 * Assessments!$E$4 + COs!$I$5 * Assessments!$B$5 * Assessments!$F$5))</f>
        <v>70.489516339869297</v>
      </c>
      <c r="AL13" s="28">
        <f>IF(AK13&gt;=Assessments!$G$2*1.2, 3, IF(AK13&gt;=Assessments!$G$2, 2, 1))</f>
        <v>2</v>
      </c>
      <c r="AM13" s="29">
        <f>((COs!$J$2 * C13 + COs!$J$3 * E13 + COs!$J$4 * G13 + COs!$J$5 * I13) / (COs!$J$2 * Assessments!$B$2 * Assessments!$C$2 + COs!$J$3 * Assessments!$B$3 * Assessments!$D$3 + COs!$J$4 * Assessments!$B$4 * Assessments!$E$4 + COs!$J$5 * Assessments!$B$5 * Assessments!$F$5))</f>
        <v>29.621621621621625</v>
      </c>
      <c r="AN13" s="28">
        <f>IF(AM13&gt;=Assessments!$G$2*1.2, 3, IF(AM13&gt;=Assessments!$G$2, 2, 1))</f>
        <v>1</v>
      </c>
      <c r="AO13" s="29">
        <f>((COs!$K$2 * C13 + COs!$K$3 * E13 + COs!$K$4 * G13 + COs!$K$5 * I13) / (COs!$K$2 * Assessments!$B$2 * Assessments!$C$2 + COs!$K$3 * Assessments!$B$3 * Assessments!$D$3 + COs!$K$4 * Assessments!$B$4 * Assessments!$E$4 + COs!$K$5 * Assessments!$B$5 * Assessments!$F$5))</f>
        <v>29.621621621621625</v>
      </c>
      <c r="AP13" s="28">
        <f>IF(AO13&gt;=Assessments!$G$2*1.2, 3, IF(AO13&gt;=Assessments!$G$2, 2, 1))</f>
        <v>1</v>
      </c>
      <c r="AQ13" s="29">
        <f>((COs!$L$2 * C13 + COs!$L$3 * E13 + COs!$L$4 * G13 + COs!$L$5 * I13) / (COs!$L$2 * Assessments!$B$2 * Assessments!$C$2 + COs!$L$3 * Assessments!$B$3 * Assessments!$D$3 + COs!$L$4 * Assessments!$B$4 * Assessments!$E$4 + COs!$L$5 * Assessments!$B$5 * Assessments!$F$5))</f>
        <v>39.495495495495497</v>
      </c>
      <c r="AR13" s="28">
        <f>IF(AQ13&gt;=Assessments!$G$2*1.2, 3, IF(AQ13&gt;=Assessments!$G$2, 2, 1))</f>
        <v>1</v>
      </c>
      <c r="AS13" s="29">
        <f>((COs!$M$2 * C13 + COs!$M$3 * E13 + COs!$M$4 * G13 + COs!$M$5 * I13) / (COs!$M$2 * Assessments!$B$2 * Assessments!$C$2 + COs!$M$3 * Assessments!$B$3 * Assessments!$D$3 + COs!$M$4 * Assessments!$B$4 * Assessments!$E$4 + COs!$M$5 * Assessments!$B$5 * Assessments!$F$5))</f>
        <v>39.495495495495497</v>
      </c>
      <c r="AT13" s="28">
        <f>IF(AS13&gt;=Assessments!$G$2*1.2, 3, IF(AS13&gt;=Assessments!$G$2, 2, 1))</f>
        <v>1</v>
      </c>
      <c r="AU13" s="29">
        <f>((COs!$N$2 * C13 + COs!$N$3 * E13 + COs!$N$4 * G13 + COs!$N$5 * I13) / (COs!$N$2 * Assessments!$B$2 * Assessments!$C$2 + COs!$N$3 * Assessments!$B$3 * Assessments!$D$3 + COs!$N$4 * Assessments!$B$4 * Assessments!$E$4 + COs!$N$5 * Assessments!$B$5 * Assessments!$F$5))</f>
        <v>54.931894066011715</v>
      </c>
      <c r="AV13" s="28">
        <f>IF(AU13&gt;=Assessments!$G$2*1.2, 3, IF(AU13&gt;=Assessments!$G$2, 2, 1))</f>
        <v>1</v>
      </c>
      <c r="AW13" s="29">
        <f>((COs!$O$2 * C13 + COs!$O$3 * E13 + COs!$O$4 * G13 + COs!$O$5 * I13) / (COs!$O$2 * Assessments!$B$2 * Assessments!$C$2 + COs!$O$3 * Assessments!$B$3 * Assessments!$D$3 + COs!$O$4 * Assessments!$B$4 * Assessments!$E$4 + COs!$O$5 * Assessments!$B$5 * Assessments!$F$5))</f>
        <v>40.066741458439573</v>
      </c>
      <c r="AX13" s="28">
        <f>IF(AW13&gt;=Assessments!$G$2*1.2, 3, IF(AW13&gt;=Assessments!$G$2, 2, 1))</f>
        <v>1</v>
      </c>
      <c r="AY13" s="29">
        <f>((COs!$P$2 * C13 + COs!$P$3 * E13 + COs!$P$4 * G13 + COs!$P$5 * I13) / (COs!$P$2 * Assessments!$B$2 * Assessments!$C$2 + COs!$P$3 * Assessments!$B$3 * Assessments!$D$3 + COs!$P$4 * Assessments!$B$4 * Assessments!$E$4 + COs!$P$5 * Assessments!$B$5 * Assessments!$F$5))</f>
        <v>35.545945945945945</v>
      </c>
      <c r="AZ13" s="28">
        <f>IF(AY13&gt;=Assessments!$G$2*1.2, 3, IF(AY13&gt;=Assessments!$G$2, 2, 1))</f>
        <v>1</v>
      </c>
      <c r="BA13" s="30"/>
      <c r="BB13" s="30"/>
    </row>
    <row r="14" spans="1:54" x14ac:dyDescent="0.25">
      <c r="A14" s="26" t="str">
        <f>'IA Marks'!B15</f>
        <v>22BSR16087</v>
      </c>
      <c r="B14" s="26" t="str">
        <f>'IA Marks'!C15</f>
        <v>SAATVIK TYAGI</v>
      </c>
      <c r="C14" s="27">
        <f>('Componentwise marks'!D15 + 'Componentwise marks'!H15 + 'Componentwise marks'!L15 + 'Componentwise marks'!P15 + 'Componentwise marks'!T15) / ( (Assessments!$C$2*Assessments!$B$2) + (Assessments!$C$3*Assessments!$B$3) + (Assessments!$C$4*Assessments!$B$4) + (Assessments!$C$5*Assessments!$B$5) + (Assessments!$C$6*Assessments!$B$6)) * 100</f>
        <v>67.176470588235304</v>
      </c>
      <c r="D14" s="28">
        <f>IF(C14&gt;=Assessments!$G$2*1.2, 3, IF(C14&gt;=Assessments!$G$2, 2, 1))</f>
        <v>2</v>
      </c>
      <c r="E14" s="27">
        <f>('Componentwise marks'!E15 + 'Componentwise marks'!I15 + 'Componentwise marks'!M15 + 'Componentwise marks'!Q15 + 'Componentwise marks'!U15) / ( (Assessments!$D$2*Assessments!$B$2) + (Assessments!$D$3*Assessments!$B$3) + (Assessments!$D$4*Assessments!$B$4) + (Assessments!$D$5*Assessments!$B$5) + (Assessments!$D$6*Assessments!$B$6)) * 100</f>
        <v>70.213333333333324</v>
      </c>
      <c r="F14" s="28">
        <f>IF(E14&gt;=Assessments!$G$2*1.2, 3, IF(E14&gt;=Assessments!$G$2, 2, 1))</f>
        <v>2</v>
      </c>
      <c r="G14" s="27">
        <f>('Componentwise marks'!F15 + 'Componentwise marks'!J15 + 'Componentwise marks'!N15 + 'Componentwise marks'!R15 + 'Componentwise marks'!V15) / ( (Assessments!$E$2*Assessments!$B$2) + (Assessments!$E$3*Assessments!$B$3) + (Assessments!$E$4*Assessments!$B$4) + (Assessments!$E$5*Assessments!$B$5) + (Assessments!$E$6*Assessments!$B$6)) * 100</f>
        <v>68.486486486486498</v>
      </c>
      <c r="H14" s="28">
        <f>IF(G14&gt;=Assessments!$G$2*1.2, 3, IF(G14&gt;=Assessments!$G$2, 2, 1))</f>
        <v>2</v>
      </c>
      <c r="I14" s="27">
        <f>('Componentwise marks'!G15 + 'Componentwise marks'!K15 + 'Componentwise marks'!O15 + 'Componentwise marks'!S15 + 'Componentwise marks'!W15) / ( (Assessments!$F$2*Assessments!$B$2) + (Assessments!$F$3*Assessments!$B$3) + (Assessments!$F$4*Assessments!$B$4) + (Assessments!$F$5*Assessments!$B$5) + (Assessments!$F$6*Assessments!$B$6)) * 100</f>
        <v>68.486486486486498</v>
      </c>
      <c r="J14" s="28">
        <f>IF(I14&gt;=Assessments!$G$2*1.2, 3, IF(I14&gt;=Assessments!$G$2, 2, 1))</f>
        <v>2</v>
      </c>
      <c r="K14" s="27">
        <f t="shared" si="0"/>
        <v>60.458823529411774</v>
      </c>
      <c r="L14" s="29">
        <f t="shared" si="1"/>
        <v>3.3588235294117652</v>
      </c>
      <c r="M14" s="29">
        <f t="shared" si="2"/>
        <v>3.3588235294117652</v>
      </c>
      <c r="N14" s="29">
        <f t="shared" si="3"/>
        <v>49.149333333333324</v>
      </c>
      <c r="O14" s="29">
        <f t="shared" si="4"/>
        <v>10.531999999999998</v>
      </c>
      <c r="P14" s="29">
        <f t="shared" si="5"/>
        <v>10.531999999999998</v>
      </c>
      <c r="Q14" s="27">
        <f t="shared" si="6"/>
        <v>27.394594594594601</v>
      </c>
      <c r="R14" s="29">
        <f t="shared" si="7"/>
        <v>34.243243243243249</v>
      </c>
      <c r="S14" s="29">
        <f t="shared" si="8"/>
        <v>6.8486486486486502</v>
      </c>
      <c r="T14" s="29">
        <f t="shared" si="9"/>
        <v>27.394594594594601</v>
      </c>
      <c r="U14" s="29">
        <f t="shared" si="10"/>
        <v>34.243243243243249</v>
      </c>
      <c r="V14" s="29">
        <f t="shared" si="11"/>
        <v>6.8486486486486502</v>
      </c>
      <c r="W14" s="32">
        <f t="shared" si="12"/>
        <v>68.498894188305954</v>
      </c>
      <c r="X14">
        <f>IF(W14&gt;=Assessments!$G$2*1.2, 3, IF(W14&gt;=Assessments!$G$2, 2, 1))</f>
        <v>2</v>
      </c>
      <c r="Y14" s="29">
        <f t="shared" si="13"/>
        <v>68.647758346581881</v>
      </c>
      <c r="Z14">
        <f>IF(Y14&gt;=Assessments!$G$2*1.2, 3, IF(Y14&gt;=Assessments!$G$2, 2, 1))</f>
        <v>2</v>
      </c>
      <c r="AA14" s="29">
        <f t="shared" si="14"/>
        <v>68.970302066772661</v>
      </c>
      <c r="AB14">
        <f>IF(AA14&gt;=Assessments!$G$2*1.2, 3, IF(AA14&gt;=Assessments!$G$2, 2, 1))</f>
        <v>2</v>
      </c>
      <c r="AC14" s="27">
        <f>((COs!$E$2 * C14 + COs!$E$3 * E14 + COs!$E$4 * G14 + COs!$E$5 * I14) / (COs!$E$2 * Assessments!$B$2 * Assessments!$C$2 + COs!$E$3 * Assessments!$B$3 * Assessments!$D$3 + COs!$E$4 * Assessments!$B$4 * Assessments!$E$4 + COs!$E$5 * Assessments!$B$5 * Assessments!$F$5))</f>
        <v>54.712972549019611</v>
      </c>
      <c r="AD14" s="28">
        <f>IF(AC14&gt;=Assessments!$G$2*1.2, 3, IF(AC14&gt;=Assessments!$G$2, 2, 1))</f>
        <v>1</v>
      </c>
      <c r="AE14" s="27">
        <f>((COs!$E$2 * C14 + COs!$E$3 * E14 + COs!$E$4 * G14 + COs!$E$5 * I14) / (COs!$E$2 * Assessments!$B$2 * Assessments!$C$2 + COs!$E$3 * Assessments!$B$3 * Assessments!$D$3 + COs!$E$4 * Assessments!$B$4 * Assessments!$E$4 + COs!$E$5 * Assessments!$B$5 * Assessments!$F$5))</f>
        <v>54.712972549019611</v>
      </c>
      <c r="AF14" s="28">
        <f>IF(AE14&gt;=Assessments!$G$2*1.2, 3, IF(AE14&gt;=Assessments!$G$2, 2, 1))</f>
        <v>1</v>
      </c>
      <c r="AG14" s="29">
        <f>((COs!$G$2 * C14 + COs!$G$3 * E14 + COs!$G$4 * G14 + COs!$G$5 * I14) / (COs!$G$2 * Assessments!$B$2 * Assessments!$C$2 + COs!$G$3 * Assessments!$B$3 * Assessments!$D$3 + COs!$G$4 * Assessments!$B$4 * Assessments!$E$4 + COs!$G$5 * Assessments!$B$5 * Assessments!$F$5))</f>
        <v>53.166949806949809</v>
      </c>
      <c r="AH14" s="28">
        <f>IF(AG14&gt;=Assessments!$G$2*1.2, 3, IF(AG14&gt;=Assessments!$G$2, 2, 1))</f>
        <v>1</v>
      </c>
      <c r="AI14" s="29">
        <f>((COs!$H$2 * C14 + COs!$H$3 * E14 + COs!$H$4 * G14 + COs!$H$5 * I14) / (COs!$H$2 * Assessments!$B$2 * Assessments!$C$2 + COs!$H$3 * Assessments!$B$3 * Assessments!$D$3 + COs!$H$4 * Assessments!$B$4 * Assessments!$E$4 + COs!$H$5 * Assessments!$B$5 * Assessments!$F$5))</f>
        <v>31.158392005450839</v>
      </c>
      <c r="AJ14" s="28">
        <f>IF(AI14&gt;=Assessments!$G$2*1.2, 3, IF(AI14&gt;=Assessments!$G$2, 2, 1))</f>
        <v>1</v>
      </c>
      <c r="AK14" s="29">
        <f>((COs!$I$2 * C14 + COs!$I$3 * E14 + COs!$I$4 * G14 + COs!$I$5 * I14) / (COs!$I$2 * Assessments!$B$2 * Assessments!$C$2 + COs!$I$3 * Assessments!$B$3 * Assessments!$D$3 + COs!$I$4 * Assessments!$B$4 * Assessments!$E$4 + COs!$I$5 * Assessments!$B$5 * Assessments!$F$5))</f>
        <v>55.360836601307184</v>
      </c>
      <c r="AL14" s="28">
        <f>IF(AK14&gt;=Assessments!$G$2*1.2, 3, IF(AK14&gt;=Assessments!$G$2, 2, 1))</f>
        <v>1</v>
      </c>
      <c r="AM14" s="29">
        <f>((COs!$J$2 * C14 + COs!$J$3 * E14 + COs!$J$4 * G14 + COs!$J$5 * I14) / (COs!$J$2 * Assessments!$B$2 * Assessments!$C$2 + COs!$J$3 * Assessments!$B$3 * Assessments!$D$3 + COs!$J$4 * Assessments!$B$4 * Assessments!$E$4 + COs!$J$5 * Assessments!$B$5 * Assessments!$F$5))</f>
        <v>22.828828828828833</v>
      </c>
      <c r="AN14" s="28">
        <f>IF(AM14&gt;=Assessments!$G$2*1.2, 3, IF(AM14&gt;=Assessments!$G$2, 2, 1))</f>
        <v>1</v>
      </c>
      <c r="AO14" s="29">
        <f>((COs!$K$2 * C14 + COs!$K$3 * E14 + COs!$K$4 * G14 + COs!$K$5 * I14) / (COs!$K$2 * Assessments!$B$2 * Assessments!$C$2 + COs!$K$3 * Assessments!$B$3 * Assessments!$D$3 + COs!$K$4 * Assessments!$B$4 * Assessments!$E$4 + COs!$K$5 * Assessments!$B$5 * Assessments!$F$5))</f>
        <v>22.828828828828833</v>
      </c>
      <c r="AP14" s="28">
        <f>IF(AO14&gt;=Assessments!$G$2*1.2, 3, IF(AO14&gt;=Assessments!$G$2, 2, 1))</f>
        <v>1</v>
      </c>
      <c r="AQ14" s="29">
        <f>((COs!$L$2 * C14 + COs!$L$3 * E14 + COs!$L$4 * G14 + COs!$L$5 * I14) / (COs!$L$2 * Assessments!$B$2 * Assessments!$C$2 + COs!$L$3 * Assessments!$B$3 * Assessments!$D$3 + COs!$L$4 * Assessments!$B$4 * Assessments!$E$4 + COs!$L$5 * Assessments!$B$5 * Assessments!$F$5))</f>
        <v>30.438438438438443</v>
      </c>
      <c r="AR14" s="28">
        <f>IF(AQ14&gt;=Assessments!$G$2*1.2, 3, IF(AQ14&gt;=Assessments!$G$2, 2, 1))</f>
        <v>1</v>
      </c>
      <c r="AS14" s="29">
        <f>((COs!$M$2 * C14 + COs!$M$3 * E14 + COs!$M$4 * G14 + COs!$M$5 * I14) / (COs!$M$2 * Assessments!$B$2 * Assessments!$C$2 + COs!$M$3 * Assessments!$B$3 * Assessments!$D$3 + COs!$M$4 * Assessments!$B$4 * Assessments!$E$4 + COs!$M$5 * Assessments!$B$5 * Assessments!$F$5))</f>
        <v>30.438438438438443</v>
      </c>
      <c r="AT14" s="28">
        <f>IF(AS14&gt;=Assessments!$G$2*1.2, 3, IF(AS14&gt;=Assessments!$G$2, 2, 1))</f>
        <v>1</v>
      </c>
      <c r="AU14" s="29">
        <f>((COs!$N$2 * C14 + COs!$N$3 * E14 + COs!$N$4 * G14 + COs!$N$5 * I14) / (COs!$N$2 * Assessments!$B$2 * Assessments!$C$2 + COs!$N$3 * Assessments!$B$3 * Assessments!$D$3 + COs!$N$4 * Assessments!$B$4 * Assessments!$E$4 + COs!$N$5 * Assessments!$B$5 * Assessments!$F$5))</f>
        <v>42.053921432744964</v>
      </c>
      <c r="AV14" s="28">
        <f>IF(AU14&gt;=Assessments!$G$2*1.2, 3, IF(AU14&gt;=Assessments!$G$2, 2, 1))</f>
        <v>1</v>
      </c>
      <c r="AW14" s="29">
        <f>((COs!$O$2 * C14 + COs!$O$3 * E14 + COs!$O$4 * G14 + COs!$O$5 * I14) / (COs!$O$2 * Assessments!$B$2 * Assessments!$C$2 + COs!$O$3 * Assessments!$B$3 * Assessments!$D$3 + COs!$O$4 * Assessments!$B$4 * Assessments!$E$4 + COs!$O$5 * Assessments!$B$5 * Assessments!$F$5))</f>
        <v>31.143076661567232</v>
      </c>
      <c r="AX14" s="28">
        <f>IF(AW14&gt;=Assessments!$G$2*1.2, 3, IF(AW14&gt;=Assessments!$G$2, 2, 1))</f>
        <v>1</v>
      </c>
      <c r="AY14" s="29">
        <f>((COs!$P$2 * C14 + COs!$P$3 * E14 + COs!$P$4 * G14 + COs!$P$5 * I14) / (COs!$P$2 * Assessments!$B$2 * Assessments!$C$2 + COs!$P$3 * Assessments!$B$3 * Assessments!$D$3 + COs!$P$4 * Assessments!$B$4 * Assessments!$E$4 + COs!$P$5 * Assessments!$B$5 * Assessments!$F$5))</f>
        <v>27.394594594594597</v>
      </c>
      <c r="AZ14" s="28">
        <f>IF(AY14&gt;=Assessments!$G$2*1.2, 3, IF(AY14&gt;=Assessments!$G$2, 2, 1))</f>
        <v>1</v>
      </c>
      <c r="BA14" s="30"/>
      <c r="BB14" s="30"/>
    </row>
    <row r="15" spans="1:54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1"/>
      <c r="AS15" s="30"/>
      <c r="AT15" s="30"/>
      <c r="AU15" s="30"/>
      <c r="AV15" s="30"/>
      <c r="AW15" s="30"/>
      <c r="AX15" s="30"/>
      <c r="AY15" s="30"/>
      <c r="AZ15" s="30"/>
      <c r="BA15" s="30"/>
      <c r="BB15" s="30"/>
    </row>
    <row r="16" spans="1:54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1"/>
      <c r="AS16" s="30"/>
      <c r="AT16" s="30"/>
      <c r="AU16" s="30"/>
      <c r="AV16" s="30"/>
      <c r="AW16" s="30"/>
      <c r="AX16" s="30"/>
      <c r="AY16" s="30"/>
      <c r="AZ16" s="30"/>
      <c r="BA16" s="30"/>
      <c r="BB16" s="30"/>
    </row>
    <row r="17" spans="1:54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1"/>
      <c r="AS17" s="30"/>
      <c r="AT17" s="30"/>
      <c r="AU17" s="30"/>
      <c r="AV17" s="30"/>
      <c r="AW17" s="30"/>
      <c r="AX17" s="30"/>
      <c r="AY17" s="30"/>
      <c r="AZ17" s="30"/>
      <c r="BA17" s="30"/>
      <c r="BB17" s="30"/>
    </row>
    <row r="18" spans="1:54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1"/>
      <c r="AS18" s="30"/>
      <c r="AT18" s="30"/>
      <c r="AU18" s="30"/>
      <c r="AV18" s="30"/>
      <c r="AW18" s="30"/>
      <c r="AX18" s="30"/>
      <c r="AY18" s="30"/>
      <c r="AZ18" s="30"/>
      <c r="BA18" s="30"/>
      <c r="BB18" s="30"/>
    </row>
    <row r="19" spans="1:54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1"/>
      <c r="AS19" s="30"/>
      <c r="AT19" s="30"/>
      <c r="AU19" s="30"/>
      <c r="AV19" s="30"/>
      <c r="AW19" s="30"/>
      <c r="AX19" s="30"/>
      <c r="AY19" s="30"/>
      <c r="AZ19" s="30"/>
      <c r="BA19" s="30"/>
      <c r="BB19" s="30"/>
    </row>
    <row r="20" spans="1:54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1"/>
      <c r="AS20" s="30"/>
      <c r="AT20" s="30"/>
      <c r="AU20" s="30"/>
      <c r="AV20" s="30"/>
      <c r="AW20" s="30"/>
      <c r="AX20" s="30"/>
      <c r="AY20" s="30"/>
      <c r="AZ20" s="30"/>
      <c r="BA20" s="30"/>
      <c r="BB20" s="30"/>
    </row>
    <row r="21" spans="1:54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1"/>
      <c r="AS21" s="30"/>
      <c r="AT21" s="30"/>
      <c r="AU21" s="30"/>
      <c r="AV21" s="30"/>
      <c r="AW21" s="30"/>
      <c r="AX21" s="30"/>
      <c r="AY21" s="30"/>
      <c r="AZ21" s="30"/>
      <c r="BA21" s="30"/>
      <c r="BB21" s="30"/>
    </row>
    <row r="22" spans="1:54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1"/>
      <c r="AS22" s="30"/>
      <c r="AT22" s="30"/>
      <c r="AU22" s="30"/>
      <c r="AV22" s="30"/>
      <c r="AW22" s="30"/>
      <c r="AX22" s="30"/>
      <c r="AY22" s="30"/>
      <c r="AZ22" s="30"/>
      <c r="BA22" s="30"/>
      <c r="BB22" s="30"/>
    </row>
    <row r="23" spans="1:54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1"/>
      <c r="AS23" s="30"/>
      <c r="AT23" s="30"/>
      <c r="AU23" s="30"/>
      <c r="AV23" s="30"/>
      <c r="AW23" s="30"/>
      <c r="AX23" s="30"/>
      <c r="AY23" s="30"/>
      <c r="AZ23" s="30"/>
      <c r="BA23" s="30"/>
      <c r="BB23" s="30"/>
    </row>
    <row r="24" spans="1:54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1"/>
      <c r="AS24" s="30"/>
      <c r="AT24" s="30"/>
      <c r="AU24" s="30"/>
      <c r="AV24" s="30"/>
      <c r="AW24" s="30"/>
      <c r="AX24" s="30"/>
      <c r="AY24" s="30"/>
      <c r="AZ24" s="30"/>
      <c r="BA24" s="30"/>
      <c r="BB24" s="30"/>
    </row>
    <row r="25" spans="1:54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1"/>
      <c r="AS25" s="30"/>
      <c r="AT25" s="30"/>
      <c r="AU25" s="30"/>
      <c r="AV25" s="30"/>
      <c r="AW25" s="30"/>
      <c r="AX25" s="30"/>
      <c r="AY25" s="30"/>
      <c r="AZ25" s="30"/>
      <c r="BA25" s="30"/>
      <c r="BB25" s="30"/>
    </row>
    <row r="26" spans="1:54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1"/>
      <c r="AS26" s="30"/>
      <c r="AT26" s="30"/>
      <c r="AU26" s="30"/>
      <c r="AV26" s="30"/>
      <c r="AW26" s="30"/>
      <c r="AX26" s="30"/>
      <c r="AY26" s="30"/>
      <c r="AZ26" s="30"/>
      <c r="BA26" s="30"/>
      <c r="BB26" s="30"/>
    </row>
    <row r="27" spans="1:54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1"/>
      <c r="AS27" s="30"/>
      <c r="AT27" s="30"/>
      <c r="AU27" s="30"/>
      <c r="AV27" s="30"/>
      <c r="AW27" s="30"/>
      <c r="AX27" s="30"/>
      <c r="AY27" s="30"/>
      <c r="AZ27" s="30"/>
      <c r="BA27" s="30"/>
      <c r="BB27" s="30"/>
    </row>
    <row r="28" spans="1:54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1"/>
      <c r="AS28" s="30"/>
      <c r="AT28" s="30"/>
      <c r="AU28" s="30"/>
      <c r="AV28" s="30"/>
      <c r="AW28" s="30"/>
      <c r="AX28" s="30"/>
      <c r="AY28" s="30"/>
      <c r="AZ28" s="30"/>
      <c r="BA28" s="30"/>
      <c r="BB28" s="30"/>
    </row>
    <row r="29" spans="1:54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1"/>
      <c r="AS29" s="30"/>
      <c r="AT29" s="30"/>
      <c r="AU29" s="30"/>
      <c r="AV29" s="30"/>
      <c r="AW29" s="30"/>
      <c r="AX29" s="30"/>
      <c r="AY29" s="30"/>
      <c r="AZ29" s="30"/>
      <c r="BA29" s="30"/>
      <c r="BB29" s="30"/>
    </row>
    <row r="30" spans="1:54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1"/>
      <c r="AS30" s="30"/>
      <c r="AT30" s="30"/>
      <c r="AU30" s="30"/>
      <c r="AV30" s="30"/>
      <c r="AW30" s="30"/>
      <c r="AX30" s="30"/>
      <c r="AY30" s="30"/>
      <c r="AZ30" s="30"/>
      <c r="BA30" s="30"/>
      <c r="BB30" s="30"/>
    </row>
    <row r="31" spans="1:54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1"/>
      <c r="AS31" s="30"/>
      <c r="AT31" s="30"/>
      <c r="AU31" s="30"/>
      <c r="AV31" s="30"/>
      <c r="AW31" s="30"/>
      <c r="AX31" s="30"/>
      <c r="AY31" s="30"/>
      <c r="AZ31" s="30"/>
      <c r="BA31" s="30"/>
      <c r="BB31" s="30"/>
    </row>
    <row r="32" spans="1:54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1"/>
      <c r="AS32" s="30"/>
      <c r="AT32" s="30"/>
      <c r="AU32" s="30"/>
      <c r="AV32" s="30"/>
      <c r="AW32" s="30"/>
      <c r="AX32" s="30"/>
      <c r="AY32" s="30"/>
      <c r="AZ32" s="30"/>
      <c r="BA32" s="30"/>
      <c r="BB32" s="30"/>
    </row>
    <row r="33" spans="1:54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1"/>
      <c r="AS33" s="30"/>
      <c r="AT33" s="30"/>
      <c r="AU33" s="30"/>
      <c r="AV33" s="30"/>
      <c r="AW33" s="30"/>
      <c r="AX33" s="30"/>
      <c r="AY33" s="30"/>
      <c r="AZ33" s="30"/>
      <c r="BA33" s="30"/>
      <c r="BB33" s="30"/>
    </row>
    <row r="34" spans="1:54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1"/>
      <c r="AS34" s="30"/>
      <c r="AT34" s="30"/>
      <c r="AU34" s="30"/>
      <c r="AV34" s="30"/>
      <c r="AW34" s="30"/>
      <c r="AX34" s="30"/>
      <c r="AY34" s="30"/>
      <c r="AZ34" s="30"/>
      <c r="BA34" s="30"/>
      <c r="BB34" s="30"/>
    </row>
    <row r="35" spans="1:54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1"/>
      <c r="AS35" s="30"/>
      <c r="AT35" s="30"/>
      <c r="AU35" s="30"/>
      <c r="AV35" s="30"/>
      <c r="AW35" s="30"/>
      <c r="AX35" s="30"/>
      <c r="AY35" s="30"/>
      <c r="AZ35" s="30"/>
      <c r="BA35" s="30"/>
      <c r="BB35" s="30"/>
    </row>
    <row r="36" spans="1:54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1"/>
      <c r="AS36" s="30"/>
      <c r="AT36" s="30"/>
      <c r="AU36" s="30"/>
      <c r="AV36" s="30"/>
      <c r="AW36" s="30"/>
      <c r="AX36" s="30"/>
      <c r="AY36" s="30"/>
      <c r="AZ36" s="30"/>
      <c r="BA36" s="30"/>
      <c r="BB36" s="30"/>
    </row>
    <row r="37" spans="1:54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1"/>
      <c r="AS37" s="30"/>
      <c r="AT37" s="30"/>
      <c r="AU37" s="30"/>
      <c r="AV37" s="30"/>
      <c r="AW37" s="30"/>
      <c r="AX37" s="30"/>
      <c r="AY37" s="30"/>
      <c r="AZ37" s="30"/>
      <c r="BA37" s="30"/>
      <c r="BB37" s="30"/>
    </row>
    <row r="38" spans="1:54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1"/>
      <c r="AS38" s="30"/>
      <c r="AT38" s="30"/>
      <c r="AU38" s="30"/>
      <c r="AV38" s="30"/>
      <c r="AW38" s="30"/>
      <c r="AX38" s="30"/>
      <c r="AY38" s="30"/>
      <c r="AZ38" s="30"/>
      <c r="BA38" s="30"/>
      <c r="BB38" s="30"/>
    </row>
    <row r="39" spans="1:54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1"/>
      <c r="AS39" s="30"/>
      <c r="AT39" s="30"/>
      <c r="AU39" s="30"/>
      <c r="AV39" s="30"/>
      <c r="AW39" s="30"/>
      <c r="AX39" s="30"/>
      <c r="AY39" s="30"/>
      <c r="AZ39" s="30"/>
      <c r="BA39" s="30"/>
      <c r="BB39" s="30"/>
    </row>
    <row r="40" spans="1:54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1"/>
      <c r="AS40" s="30"/>
      <c r="AT40" s="30"/>
      <c r="AU40" s="30"/>
      <c r="AV40" s="30"/>
      <c r="AW40" s="30"/>
      <c r="AX40" s="30"/>
      <c r="AY40" s="30"/>
      <c r="AZ40" s="30"/>
      <c r="BA40" s="30"/>
      <c r="BB40" s="30"/>
    </row>
    <row r="41" spans="1:54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1"/>
      <c r="AS41" s="30"/>
      <c r="AT41" s="30"/>
      <c r="AU41" s="30"/>
      <c r="AV41" s="30"/>
      <c r="AW41" s="30"/>
      <c r="AX41" s="30"/>
      <c r="AY41" s="30"/>
      <c r="AZ41" s="30"/>
      <c r="BA41" s="30"/>
      <c r="BB41" s="30"/>
    </row>
    <row r="42" spans="1:54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1"/>
      <c r="AS42" s="30"/>
      <c r="AT42" s="30"/>
      <c r="AU42" s="30"/>
      <c r="AV42" s="30"/>
      <c r="AW42" s="30"/>
      <c r="AX42" s="30"/>
      <c r="AY42" s="30"/>
      <c r="AZ42" s="30"/>
      <c r="BA42" s="30"/>
      <c r="BB42" s="30"/>
    </row>
    <row r="43" spans="1:54" x14ac:dyDescent="0.2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1"/>
      <c r="AS43" s="30"/>
      <c r="AT43" s="30"/>
      <c r="AU43" s="30"/>
      <c r="AV43" s="30"/>
      <c r="AW43" s="30"/>
      <c r="AX43" s="30"/>
      <c r="AY43" s="30"/>
      <c r="AZ43" s="30"/>
      <c r="BA43" s="30"/>
      <c r="BB43" s="30"/>
    </row>
    <row r="44" spans="1:54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1"/>
      <c r="AS44" s="30"/>
      <c r="AT44" s="30"/>
      <c r="AU44" s="30"/>
      <c r="AV44" s="30"/>
      <c r="AW44" s="30"/>
      <c r="AX44" s="30"/>
      <c r="AY44" s="30"/>
      <c r="AZ44" s="30"/>
      <c r="BA44" s="30"/>
      <c r="BB44" s="30"/>
    </row>
    <row r="45" spans="1:54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1"/>
      <c r="AS45" s="30"/>
      <c r="AT45" s="30"/>
      <c r="AU45" s="30"/>
      <c r="AV45" s="30"/>
      <c r="AW45" s="30"/>
      <c r="AX45" s="30"/>
      <c r="AY45" s="30"/>
      <c r="AZ45" s="30"/>
      <c r="BA45" s="30"/>
      <c r="BB45" s="30"/>
    </row>
    <row r="46" spans="1:54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1"/>
      <c r="AS46" s="30"/>
      <c r="AT46" s="30"/>
      <c r="AU46" s="30"/>
      <c r="AV46" s="30"/>
      <c r="AW46" s="30"/>
      <c r="AX46" s="30"/>
      <c r="AY46" s="30"/>
      <c r="AZ46" s="30"/>
      <c r="BA46" s="30"/>
      <c r="BB46" s="30"/>
    </row>
    <row r="47" spans="1:54" x14ac:dyDescent="0.2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1"/>
      <c r="AS47" s="30"/>
      <c r="AT47" s="30"/>
      <c r="AU47" s="30"/>
      <c r="AV47" s="30"/>
      <c r="AW47" s="30"/>
      <c r="AX47" s="30"/>
      <c r="AY47" s="30"/>
      <c r="AZ47" s="30"/>
      <c r="BA47" s="30"/>
      <c r="BB47" s="30"/>
    </row>
    <row r="48" spans="1:54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1"/>
      <c r="AS48" s="30"/>
      <c r="AT48" s="30"/>
      <c r="AU48" s="30"/>
      <c r="AV48" s="30"/>
      <c r="AW48" s="30"/>
      <c r="AX48" s="30"/>
      <c r="AY48" s="30"/>
      <c r="AZ48" s="30"/>
      <c r="BA48" s="30"/>
      <c r="BB48" s="30"/>
    </row>
    <row r="49" spans="1:54" x14ac:dyDescent="0.2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1"/>
      <c r="AS49" s="30"/>
      <c r="AT49" s="30"/>
      <c r="AU49" s="30"/>
      <c r="AV49" s="30"/>
      <c r="AW49" s="30"/>
      <c r="AX49" s="30"/>
      <c r="AY49" s="30"/>
      <c r="AZ49" s="30"/>
      <c r="BA49" s="30"/>
      <c r="BB49" s="30"/>
    </row>
    <row r="50" spans="1:54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1"/>
      <c r="AS50" s="30"/>
      <c r="AT50" s="30"/>
      <c r="AU50" s="30"/>
      <c r="AV50" s="30"/>
      <c r="AW50" s="30"/>
      <c r="AX50" s="30"/>
      <c r="AY50" s="30"/>
      <c r="AZ50" s="30"/>
      <c r="BA50" s="30"/>
      <c r="BB50" s="30"/>
    </row>
    <row r="51" spans="1:54" x14ac:dyDescent="0.2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1"/>
      <c r="AS51" s="30"/>
      <c r="AT51" s="30"/>
      <c r="AU51" s="30"/>
      <c r="AV51" s="30"/>
      <c r="AW51" s="30"/>
      <c r="AX51" s="30"/>
      <c r="AY51" s="30"/>
      <c r="AZ51" s="30"/>
      <c r="BA51" s="30"/>
      <c r="BB51" s="30"/>
    </row>
    <row r="52" spans="1:54" x14ac:dyDescent="0.2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1"/>
      <c r="AS52" s="30"/>
      <c r="AT52" s="30"/>
      <c r="AU52" s="30"/>
      <c r="AV52" s="30"/>
      <c r="AW52" s="30"/>
      <c r="AX52" s="30"/>
      <c r="AY52" s="30"/>
      <c r="AZ52" s="30"/>
      <c r="BA52" s="30"/>
      <c r="BB52" s="30"/>
    </row>
    <row r="53" spans="1:54" x14ac:dyDescent="0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1"/>
      <c r="AS53" s="30"/>
      <c r="AT53" s="30"/>
      <c r="AU53" s="30"/>
      <c r="AV53" s="30"/>
      <c r="AW53" s="30"/>
      <c r="AX53" s="30"/>
      <c r="AY53" s="30"/>
      <c r="AZ53" s="30"/>
      <c r="BA53" s="30"/>
      <c r="BB53" s="30"/>
    </row>
    <row r="54" spans="1:54" x14ac:dyDescent="0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1"/>
      <c r="AS54" s="30"/>
      <c r="AT54" s="30"/>
      <c r="AU54" s="30"/>
      <c r="AV54" s="30"/>
      <c r="AW54" s="30"/>
      <c r="AX54" s="30"/>
      <c r="AY54" s="30"/>
      <c r="AZ54" s="30"/>
      <c r="BA54" s="30"/>
      <c r="BB54" s="30"/>
    </row>
    <row r="55" spans="1:54" x14ac:dyDescent="0.2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1"/>
      <c r="AS55" s="30"/>
      <c r="AT55" s="30"/>
      <c r="AU55" s="30"/>
      <c r="AV55" s="30"/>
      <c r="AW55" s="30"/>
      <c r="AX55" s="30"/>
      <c r="AY55" s="30"/>
      <c r="AZ55" s="30"/>
      <c r="BA55" s="30"/>
      <c r="BB55" s="30"/>
    </row>
    <row r="56" spans="1:54" x14ac:dyDescent="0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1"/>
      <c r="AS56" s="30"/>
      <c r="AT56" s="30"/>
      <c r="AU56" s="30"/>
      <c r="AV56" s="30"/>
      <c r="AW56" s="30"/>
      <c r="AX56" s="30"/>
      <c r="AY56" s="30"/>
      <c r="AZ56" s="30"/>
      <c r="BA56" s="30"/>
      <c r="BB56" s="30"/>
    </row>
    <row r="57" spans="1:54" x14ac:dyDescent="0.2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1"/>
      <c r="AS57" s="30"/>
      <c r="AT57" s="30"/>
      <c r="AU57" s="30"/>
      <c r="AV57" s="30"/>
      <c r="AW57" s="30"/>
      <c r="AX57" s="30"/>
      <c r="AY57" s="30"/>
      <c r="AZ57" s="30"/>
      <c r="BA57" s="30"/>
      <c r="BB57" s="30"/>
    </row>
    <row r="58" spans="1:54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1"/>
      <c r="AS58" s="30"/>
      <c r="AT58" s="30"/>
      <c r="AU58" s="30"/>
      <c r="AV58" s="30"/>
      <c r="AW58" s="30"/>
      <c r="AX58" s="30"/>
      <c r="AY58" s="30"/>
      <c r="AZ58" s="30"/>
      <c r="BA58" s="30"/>
      <c r="BB58" s="30"/>
    </row>
    <row r="59" spans="1:54" x14ac:dyDescent="0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1"/>
      <c r="AS59" s="30"/>
      <c r="AT59" s="30"/>
      <c r="AU59" s="30"/>
      <c r="AV59" s="30"/>
      <c r="AW59" s="30"/>
      <c r="AX59" s="30"/>
      <c r="AY59" s="30"/>
      <c r="AZ59" s="30"/>
      <c r="BA59" s="30"/>
      <c r="BB59" s="30"/>
    </row>
    <row r="60" spans="1:54" x14ac:dyDescent="0.2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1"/>
      <c r="AS60" s="30"/>
      <c r="AT60" s="30"/>
      <c r="AU60" s="30"/>
      <c r="AV60" s="30"/>
      <c r="AW60" s="30"/>
      <c r="AX60" s="30"/>
      <c r="AY60" s="30"/>
      <c r="AZ60" s="30"/>
      <c r="BA60" s="30"/>
      <c r="BB60" s="30"/>
    </row>
    <row r="61" spans="1:54" x14ac:dyDescent="0.2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1"/>
      <c r="AS61" s="30"/>
      <c r="AT61" s="30"/>
      <c r="AU61" s="30"/>
      <c r="AV61" s="30"/>
      <c r="AW61" s="30"/>
      <c r="AX61" s="30"/>
      <c r="AY61" s="30"/>
      <c r="AZ61" s="30"/>
      <c r="BA61" s="30"/>
      <c r="BB61" s="30"/>
    </row>
    <row r="62" spans="1:54" x14ac:dyDescent="0.2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1"/>
      <c r="AS62" s="30"/>
      <c r="AT62" s="30"/>
      <c r="AU62" s="30"/>
      <c r="AV62" s="30"/>
      <c r="AW62" s="30"/>
      <c r="AX62" s="30"/>
      <c r="AY62" s="30"/>
      <c r="AZ62" s="30"/>
      <c r="BA62" s="30"/>
      <c r="BB62" s="30"/>
    </row>
    <row r="63" spans="1:54" x14ac:dyDescent="0.2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1"/>
      <c r="AS63" s="30"/>
      <c r="AT63" s="30"/>
      <c r="AU63" s="30"/>
      <c r="AV63" s="30"/>
      <c r="AW63" s="30"/>
      <c r="AX63" s="30"/>
      <c r="AY63" s="30"/>
      <c r="AZ63" s="30"/>
      <c r="BA63" s="30"/>
      <c r="BB63" s="30"/>
    </row>
    <row r="64" spans="1:54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1"/>
      <c r="AS64" s="30"/>
      <c r="AT64" s="30"/>
      <c r="AU64" s="30"/>
      <c r="AV64" s="30"/>
      <c r="AW64" s="30"/>
      <c r="AX64" s="30"/>
      <c r="AY64" s="30"/>
      <c r="AZ64" s="30"/>
      <c r="BA64" s="30"/>
      <c r="BB64" s="30"/>
    </row>
    <row r="65" spans="1:54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1"/>
      <c r="AS65" s="30"/>
      <c r="AT65" s="30"/>
      <c r="AU65" s="30"/>
      <c r="AV65" s="30"/>
      <c r="AW65" s="30"/>
      <c r="AX65" s="30"/>
      <c r="AY65" s="30"/>
      <c r="AZ65" s="30"/>
      <c r="BA65" s="30"/>
      <c r="BB65" s="30"/>
    </row>
    <row r="66" spans="1:54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1"/>
      <c r="AS66" s="30"/>
      <c r="AT66" s="30"/>
      <c r="AU66" s="30"/>
      <c r="AV66" s="30"/>
      <c r="AW66" s="30"/>
      <c r="AX66" s="30"/>
      <c r="AY66" s="30"/>
      <c r="AZ66" s="30"/>
      <c r="BA66" s="30"/>
      <c r="BB66" s="30"/>
    </row>
    <row r="67" spans="1:54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1"/>
      <c r="AS67" s="30"/>
      <c r="AT67" s="30"/>
      <c r="AU67" s="30"/>
      <c r="AV67" s="30"/>
      <c r="AW67" s="30"/>
      <c r="AX67" s="30"/>
      <c r="AY67" s="30"/>
      <c r="AZ67" s="30"/>
      <c r="BA67" s="30"/>
      <c r="BB67" s="30"/>
    </row>
    <row r="68" spans="1:54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1"/>
      <c r="AS68" s="30"/>
      <c r="AT68" s="30"/>
      <c r="AU68" s="30"/>
      <c r="AV68" s="30"/>
      <c r="AW68" s="30"/>
      <c r="AX68" s="30"/>
      <c r="AY68" s="30"/>
      <c r="AZ68" s="30"/>
      <c r="BA68" s="30"/>
      <c r="BB68" s="30"/>
    </row>
    <row r="69" spans="1:54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1"/>
      <c r="AS69" s="30"/>
      <c r="AT69" s="30"/>
      <c r="AU69" s="30"/>
      <c r="AV69" s="30"/>
      <c r="AW69" s="30"/>
      <c r="AX69" s="30"/>
      <c r="AY69" s="30"/>
      <c r="AZ69" s="30"/>
      <c r="BA69" s="30"/>
      <c r="BB69" s="30"/>
    </row>
    <row r="70" spans="1:54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1"/>
      <c r="AS70" s="30"/>
      <c r="AT70" s="30"/>
      <c r="AU70" s="30"/>
      <c r="AV70" s="30"/>
      <c r="AW70" s="30"/>
      <c r="AX70" s="30"/>
      <c r="AY70" s="30"/>
      <c r="AZ70" s="30"/>
      <c r="BA70" s="30"/>
      <c r="BB70" s="30"/>
    </row>
    <row r="71" spans="1:54" x14ac:dyDescent="0.2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1"/>
      <c r="AS71" s="30"/>
      <c r="AT71" s="30"/>
      <c r="AU71" s="30"/>
      <c r="AV71" s="30"/>
      <c r="AW71" s="30"/>
      <c r="AX71" s="30"/>
      <c r="AY71" s="30"/>
      <c r="AZ71" s="30"/>
      <c r="BA71" s="30"/>
      <c r="BB71" s="30"/>
    </row>
    <row r="72" spans="1:54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1"/>
      <c r="AS72" s="30"/>
      <c r="AT72" s="30"/>
      <c r="AU72" s="30"/>
      <c r="AV72" s="30"/>
      <c r="AW72" s="30"/>
      <c r="AX72" s="30"/>
      <c r="AY72" s="30"/>
      <c r="AZ72" s="30"/>
      <c r="BA72" s="30"/>
      <c r="BB72" s="30"/>
    </row>
    <row r="73" spans="1:54" x14ac:dyDescent="0.2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1"/>
      <c r="AS73" s="30"/>
      <c r="AT73" s="30"/>
      <c r="AU73" s="30"/>
      <c r="AV73" s="30"/>
      <c r="AW73" s="30"/>
      <c r="AX73" s="30"/>
      <c r="AY73" s="30"/>
      <c r="AZ73" s="30"/>
      <c r="BA73" s="30"/>
      <c r="BB73" s="30"/>
    </row>
    <row r="74" spans="1:54" x14ac:dyDescent="0.2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1"/>
      <c r="AS74" s="30"/>
      <c r="AT74" s="30"/>
      <c r="AU74" s="30"/>
      <c r="AV74" s="30"/>
      <c r="AW74" s="30"/>
      <c r="AX74" s="30"/>
      <c r="AY74" s="30"/>
      <c r="AZ74" s="30"/>
      <c r="BA74" s="30"/>
      <c r="BB74" s="30"/>
    </row>
    <row r="75" spans="1:54" x14ac:dyDescent="0.2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1"/>
      <c r="AS75" s="30"/>
      <c r="AT75" s="30"/>
      <c r="AU75" s="30"/>
      <c r="AV75" s="30"/>
      <c r="AW75" s="30"/>
      <c r="AX75" s="30"/>
      <c r="AY75" s="30"/>
      <c r="AZ75" s="30"/>
      <c r="BA75" s="30"/>
      <c r="BB75" s="30"/>
    </row>
    <row r="76" spans="1:54" x14ac:dyDescent="0.2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1"/>
      <c r="AS76" s="30"/>
      <c r="AT76" s="30"/>
      <c r="AU76" s="30"/>
      <c r="AV76" s="30"/>
      <c r="AW76" s="30"/>
      <c r="AX76" s="30"/>
      <c r="AY76" s="30"/>
      <c r="AZ76" s="30"/>
      <c r="BA76" s="30"/>
      <c r="BB76" s="30"/>
    </row>
    <row r="77" spans="1:54" x14ac:dyDescent="0.2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1"/>
      <c r="AS77" s="30"/>
      <c r="AT77" s="30"/>
      <c r="AU77" s="30"/>
      <c r="AV77" s="30"/>
      <c r="AW77" s="30"/>
      <c r="AX77" s="30"/>
      <c r="AY77" s="30"/>
      <c r="AZ77" s="30"/>
      <c r="BA77" s="30"/>
      <c r="BB77" s="30"/>
    </row>
    <row r="78" spans="1:54" x14ac:dyDescent="0.2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1"/>
      <c r="AS78" s="30"/>
      <c r="AT78" s="30"/>
      <c r="AU78" s="30"/>
      <c r="AV78" s="30"/>
      <c r="AW78" s="30"/>
      <c r="AX78" s="30"/>
      <c r="AY78" s="30"/>
      <c r="AZ78" s="30"/>
      <c r="BA78" s="30"/>
      <c r="BB78" s="30"/>
    </row>
    <row r="79" spans="1:54" x14ac:dyDescent="0.2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1"/>
      <c r="AS79" s="30"/>
      <c r="AT79" s="30"/>
      <c r="AU79" s="30"/>
      <c r="AV79" s="30"/>
      <c r="AW79" s="30"/>
      <c r="AX79" s="30"/>
      <c r="AY79" s="30"/>
      <c r="AZ79" s="30"/>
      <c r="BA79" s="30"/>
      <c r="BB79" s="30"/>
    </row>
    <row r="80" spans="1:54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1"/>
      <c r="AS80" s="30"/>
      <c r="AT80" s="30"/>
      <c r="AU80" s="30"/>
      <c r="AV80" s="30"/>
      <c r="AW80" s="30"/>
      <c r="AX80" s="30"/>
      <c r="AY80" s="30"/>
      <c r="AZ80" s="30"/>
      <c r="BA80" s="30"/>
      <c r="BB80" s="30"/>
    </row>
    <row r="81" spans="1:54" x14ac:dyDescent="0.2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1"/>
      <c r="AS81" s="30"/>
      <c r="AT81" s="30"/>
      <c r="AU81" s="30"/>
      <c r="AV81" s="30"/>
      <c r="AW81" s="30"/>
      <c r="AX81" s="30"/>
      <c r="AY81" s="30"/>
      <c r="AZ81" s="30"/>
      <c r="BA81" s="30"/>
      <c r="BB81" s="30"/>
    </row>
    <row r="82" spans="1:54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1"/>
      <c r="AS82" s="30"/>
      <c r="AT82" s="30"/>
      <c r="AU82" s="30"/>
      <c r="AV82" s="30"/>
      <c r="AW82" s="30"/>
      <c r="AX82" s="30"/>
      <c r="AY82" s="30"/>
      <c r="AZ82" s="30"/>
      <c r="BA82" s="30"/>
      <c r="BB82" s="30"/>
    </row>
    <row r="83" spans="1:54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1"/>
      <c r="AS83" s="30"/>
      <c r="AT83" s="30"/>
      <c r="AU83" s="30"/>
      <c r="AV83" s="30"/>
      <c r="AW83" s="30"/>
      <c r="AX83" s="30"/>
      <c r="AY83" s="30"/>
      <c r="AZ83" s="30"/>
      <c r="BA83" s="30"/>
      <c r="BB83" s="30"/>
    </row>
    <row r="84" spans="1:54" x14ac:dyDescent="0.2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1"/>
      <c r="AS84" s="30"/>
      <c r="AT84" s="30"/>
      <c r="AU84" s="30"/>
      <c r="AV84" s="30"/>
      <c r="AW84" s="30"/>
      <c r="AX84" s="30"/>
      <c r="AY84" s="30"/>
      <c r="AZ84" s="30"/>
      <c r="BA84" s="30"/>
      <c r="BB84" s="30"/>
    </row>
    <row r="85" spans="1:54" x14ac:dyDescent="0.2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1"/>
      <c r="AS85" s="30"/>
      <c r="AT85" s="30"/>
      <c r="AU85" s="30"/>
      <c r="AV85" s="30"/>
      <c r="AW85" s="30"/>
      <c r="AX85" s="30"/>
      <c r="AY85" s="30"/>
      <c r="AZ85" s="30"/>
      <c r="BA85" s="30"/>
      <c r="BB85" s="30"/>
    </row>
    <row r="86" spans="1:54" x14ac:dyDescent="0.2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1"/>
      <c r="AS86" s="30"/>
      <c r="AT86" s="30"/>
      <c r="AU86" s="30"/>
      <c r="AV86" s="30"/>
      <c r="AW86" s="30"/>
      <c r="AX86" s="30"/>
      <c r="AY86" s="30"/>
      <c r="AZ86" s="30"/>
      <c r="BA86" s="30"/>
      <c r="BB86" s="30"/>
    </row>
    <row r="87" spans="1:54" x14ac:dyDescent="0.2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1"/>
      <c r="AS87" s="30"/>
      <c r="AT87" s="30"/>
      <c r="AU87" s="30"/>
      <c r="AV87" s="30"/>
      <c r="AW87" s="30"/>
      <c r="AX87" s="30"/>
      <c r="AY87" s="30"/>
      <c r="AZ87" s="30"/>
      <c r="BA87" s="30"/>
      <c r="BB87" s="30"/>
    </row>
    <row r="88" spans="1:54" x14ac:dyDescent="0.2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1"/>
      <c r="AS88" s="30"/>
      <c r="AT88" s="30"/>
      <c r="AU88" s="30"/>
      <c r="AV88" s="30"/>
      <c r="AW88" s="30"/>
      <c r="AX88" s="30"/>
      <c r="AY88" s="30"/>
      <c r="AZ88" s="30"/>
      <c r="BA88" s="30"/>
      <c r="BB88" s="30"/>
    </row>
    <row r="89" spans="1:54" x14ac:dyDescent="0.2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1"/>
      <c r="AS89" s="30"/>
      <c r="AT89" s="30"/>
      <c r="AU89" s="30"/>
      <c r="AV89" s="30"/>
      <c r="AW89" s="30"/>
      <c r="AX89" s="30"/>
      <c r="AY89" s="30"/>
      <c r="AZ89" s="30"/>
      <c r="BA89" s="30"/>
      <c r="BB89" s="30"/>
    </row>
    <row r="90" spans="1:54" x14ac:dyDescent="0.2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1"/>
      <c r="AS90" s="30"/>
      <c r="AT90" s="30"/>
      <c r="AU90" s="30"/>
      <c r="AV90" s="30"/>
      <c r="AW90" s="30"/>
      <c r="AX90" s="30"/>
      <c r="AY90" s="30"/>
      <c r="AZ90" s="30"/>
      <c r="BA90" s="30"/>
      <c r="BB90" s="30"/>
    </row>
    <row r="91" spans="1:54" x14ac:dyDescent="0.2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1"/>
      <c r="AS91" s="30"/>
      <c r="AT91" s="30"/>
      <c r="AU91" s="30"/>
      <c r="AV91" s="30"/>
      <c r="AW91" s="30"/>
      <c r="AX91" s="30"/>
      <c r="AY91" s="30"/>
      <c r="AZ91" s="30"/>
      <c r="BA91" s="30"/>
      <c r="BB91" s="30"/>
    </row>
    <row r="92" spans="1:54" x14ac:dyDescent="0.2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1"/>
      <c r="AS92" s="30"/>
      <c r="AT92" s="30"/>
      <c r="AU92" s="30"/>
      <c r="AV92" s="30"/>
      <c r="AW92" s="30"/>
      <c r="AX92" s="30"/>
      <c r="AY92" s="30"/>
      <c r="AZ92" s="30"/>
      <c r="BA92" s="30"/>
      <c r="BB92" s="30"/>
    </row>
    <row r="93" spans="1:54" x14ac:dyDescent="0.2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1"/>
      <c r="AS93" s="30"/>
      <c r="AT93" s="30"/>
      <c r="AU93" s="30"/>
      <c r="AV93" s="30"/>
      <c r="AW93" s="30"/>
      <c r="AX93" s="30"/>
      <c r="AY93" s="30"/>
      <c r="AZ93" s="30"/>
      <c r="BA93" s="30"/>
      <c r="BB93" s="30"/>
    </row>
    <row r="94" spans="1:54" x14ac:dyDescent="0.2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1"/>
      <c r="AS94" s="30"/>
      <c r="AT94" s="30"/>
      <c r="AU94" s="30"/>
      <c r="AV94" s="30"/>
      <c r="AW94" s="30"/>
      <c r="AX94" s="30"/>
      <c r="AY94" s="30"/>
      <c r="AZ94" s="30"/>
      <c r="BA94" s="30"/>
      <c r="BB94" s="30"/>
    </row>
    <row r="95" spans="1:54" x14ac:dyDescent="0.2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1"/>
      <c r="AS95" s="30"/>
      <c r="AT95" s="30"/>
      <c r="AU95" s="30"/>
      <c r="AV95" s="30"/>
      <c r="AW95" s="30"/>
      <c r="AX95" s="30"/>
      <c r="AY95" s="30"/>
      <c r="AZ95" s="30"/>
      <c r="BA95" s="30"/>
      <c r="BB95" s="30"/>
    </row>
    <row r="96" spans="1:54" x14ac:dyDescent="0.2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1"/>
      <c r="AS96" s="30"/>
      <c r="AT96" s="30"/>
      <c r="AU96" s="30"/>
      <c r="AV96" s="30"/>
      <c r="AW96" s="30"/>
      <c r="AX96" s="30"/>
      <c r="AY96" s="30"/>
      <c r="AZ96" s="30"/>
      <c r="BA96" s="30"/>
      <c r="BB96" s="30"/>
    </row>
    <row r="97" spans="1:54" x14ac:dyDescent="0.2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1"/>
      <c r="AS97" s="30"/>
      <c r="AT97" s="30"/>
      <c r="AU97" s="30"/>
      <c r="AV97" s="30"/>
      <c r="AW97" s="30"/>
      <c r="AX97" s="30"/>
      <c r="AY97" s="30"/>
      <c r="AZ97" s="30"/>
      <c r="BA97" s="30"/>
      <c r="BB97" s="30"/>
    </row>
    <row r="98" spans="1:54" x14ac:dyDescent="0.2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1"/>
      <c r="AS98" s="30"/>
      <c r="AT98" s="30"/>
      <c r="AU98" s="30"/>
      <c r="AV98" s="30"/>
      <c r="AW98" s="30"/>
      <c r="AX98" s="30"/>
      <c r="AY98" s="30"/>
      <c r="AZ98" s="30"/>
      <c r="BA98" s="30"/>
      <c r="BB98" s="30"/>
    </row>
    <row r="99" spans="1:54" x14ac:dyDescent="0.2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1"/>
      <c r="AS99" s="30"/>
      <c r="AT99" s="30"/>
      <c r="AU99" s="30"/>
      <c r="AV99" s="30"/>
      <c r="AW99" s="30"/>
      <c r="AX99" s="30"/>
      <c r="AY99" s="30"/>
      <c r="AZ99" s="30"/>
      <c r="BA99" s="30"/>
      <c r="BB99" s="30"/>
    </row>
    <row r="100" spans="1:54" x14ac:dyDescent="0.2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1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</row>
    <row r="101" spans="1:54" x14ac:dyDescent="0.2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1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</row>
    <row r="102" spans="1:54" x14ac:dyDescent="0.2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1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</row>
    <row r="103" spans="1:54" x14ac:dyDescent="0.2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1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</row>
    <row r="104" spans="1:54" x14ac:dyDescent="0.2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1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</row>
    <row r="105" spans="1:54" x14ac:dyDescent="0.2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1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</row>
    <row r="106" spans="1:54" x14ac:dyDescent="0.2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1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</row>
    <row r="107" spans="1:54" x14ac:dyDescent="0.2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1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</row>
    <row r="108" spans="1:54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1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</row>
    <row r="109" spans="1:54" x14ac:dyDescent="0.2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1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</row>
    <row r="110" spans="1:54" x14ac:dyDescent="0.2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1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</row>
    <row r="111" spans="1:54" x14ac:dyDescent="0.2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1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</row>
    <row r="112" spans="1:54" x14ac:dyDescent="0.2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1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</row>
    <row r="113" spans="1:54" x14ac:dyDescent="0.2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1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</row>
    <row r="114" spans="1:54" x14ac:dyDescent="0.2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1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</row>
    <row r="115" spans="1:54" x14ac:dyDescent="0.2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1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</row>
    <row r="116" spans="1:54" x14ac:dyDescent="0.2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1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</row>
    <row r="117" spans="1:54" x14ac:dyDescent="0.2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1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</row>
    <row r="118" spans="1:54" x14ac:dyDescent="0.2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1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</row>
    <row r="119" spans="1:54" x14ac:dyDescent="0.2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1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</row>
    <row r="120" spans="1:54" x14ac:dyDescent="0.2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1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</row>
    <row r="121" spans="1:54" x14ac:dyDescent="0.2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1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</row>
    <row r="122" spans="1:54" x14ac:dyDescent="0.2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1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</row>
    <row r="123" spans="1:54" x14ac:dyDescent="0.2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1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</row>
    <row r="124" spans="1:54" x14ac:dyDescent="0.2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1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</row>
    <row r="125" spans="1:54" x14ac:dyDescent="0.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1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</row>
    <row r="126" spans="1:54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1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</row>
    <row r="127" spans="1:54" x14ac:dyDescent="0.2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1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</row>
    <row r="128" spans="1:54" x14ac:dyDescent="0.2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1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</row>
    <row r="129" spans="1:54" x14ac:dyDescent="0.2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1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</row>
    <row r="130" spans="1:54" x14ac:dyDescent="0.2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1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</row>
    <row r="131" spans="1:54" x14ac:dyDescent="0.2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1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</row>
    <row r="132" spans="1:54" x14ac:dyDescent="0.2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1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</row>
    <row r="133" spans="1:54" x14ac:dyDescent="0.2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1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</row>
    <row r="134" spans="1:54" x14ac:dyDescent="0.2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1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</row>
    <row r="135" spans="1:54" x14ac:dyDescent="0.2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1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</row>
    <row r="136" spans="1:54" x14ac:dyDescent="0.2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1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</row>
    <row r="137" spans="1:54" x14ac:dyDescent="0.2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1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</row>
    <row r="138" spans="1:54" x14ac:dyDescent="0.2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1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</row>
    <row r="139" spans="1:54" x14ac:dyDescent="0.2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1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</row>
    <row r="140" spans="1:54" x14ac:dyDescent="0.2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1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</row>
    <row r="141" spans="1:54" x14ac:dyDescent="0.2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1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</row>
    <row r="142" spans="1:54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1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</row>
    <row r="143" spans="1:54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1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</row>
    <row r="144" spans="1:54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1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</row>
    <row r="145" spans="1:54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1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</row>
    <row r="146" spans="1:54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1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</row>
    <row r="147" spans="1:54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1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</row>
    <row r="148" spans="1:54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1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</row>
    <row r="149" spans="1:54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1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</row>
    <row r="150" spans="1:54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1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</row>
    <row r="151" spans="1:54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1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</row>
    <row r="152" spans="1:54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1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</row>
    <row r="153" spans="1:54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1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</row>
    <row r="154" spans="1:54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1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</row>
    <row r="155" spans="1:54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1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</row>
    <row r="156" spans="1:54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1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</row>
    <row r="157" spans="1:54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1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</row>
    <row r="158" spans="1:54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1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</row>
    <row r="159" spans="1:54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1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</row>
    <row r="160" spans="1:54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1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</row>
    <row r="161" spans="1:54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1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</row>
    <row r="162" spans="1:54" x14ac:dyDescent="0.2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1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</row>
    <row r="163" spans="1:54" x14ac:dyDescent="0.2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1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</row>
    <row r="164" spans="1:54" x14ac:dyDescent="0.2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1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</row>
    <row r="165" spans="1:54" x14ac:dyDescent="0.2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1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</row>
    <row r="166" spans="1:54" x14ac:dyDescent="0.2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1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</row>
    <row r="167" spans="1:54" x14ac:dyDescent="0.2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1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</row>
    <row r="168" spans="1:54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1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</row>
    <row r="169" spans="1:54" x14ac:dyDescent="0.2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1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</row>
    <row r="170" spans="1:54" x14ac:dyDescent="0.2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1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</row>
    <row r="171" spans="1:54" x14ac:dyDescent="0.2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1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</row>
    <row r="172" spans="1:54" x14ac:dyDescent="0.2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1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</row>
    <row r="173" spans="1:54" x14ac:dyDescent="0.2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1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</row>
    <row r="174" spans="1:54" x14ac:dyDescent="0.2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1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</row>
    <row r="175" spans="1:54" x14ac:dyDescent="0.2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1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</row>
    <row r="176" spans="1:54" x14ac:dyDescent="0.2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1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</row>
    <row r="177" spans="1:54" x14ac:dyDescent="0.2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1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</row>
    <row r="178" spans="1:54" x14ac:dyDescent="0.2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1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</row>
    <row r="179" spans="1:54" x14ac:dyDescent="0.2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1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</row>
    <row r="180" spans="1:54" x14ac:dyDescent="0.2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1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</row>
    <row r="181" spans="1:54" x14ac:dyDescent="0.2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1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</row>
    <row r="182" spans="1:54" x14ac:dyDescent="0.2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1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</row>
    <row r="183" spans="1:54" x14ac:dyDescent="0.2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1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</row>
    <row r="184" spans="1:54" x14ac:dyDescent="0.2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1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</row>
    <row r="185" spans="1:54" x14ac:dyDescent="0.2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1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</row>
    <row r="186" spans="1:54" x14ac:dyDescent="0.2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1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</row>
    <row r="187" spans="1:54" x14ac:dyDescent="0.2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1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</row>
    <row r="188" spans="1:54" x14ac:dyDescent="0.2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1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</row>
    <row r="189" spans="1:54" x14ac:dyDescent="0.2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1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</row>
    <row r="190" spans="1:54" x14ac:dyDescent="0.2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1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</row>
    <row r="191" spans="1:54" x14ac:dyDescent="0.2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1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</row>
    <row r="192" spans="1:54" x14ac:dyDescent="0.2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1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</row>
    <row r="193" spans="1:54" x14ac:dyDescent="0.2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1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</row>
    <row r="194" spans="1:54" x14ac:dyDescent="0.2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1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</row>
    <row r="195" spans="1:54" x14ac:dyDescent="0.2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1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</row>
    <row r="196" spans="1:54" x14ac:dyDescent="0.2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1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</row>
    <row r="197" spans="1:54" x14ac:dyDescent="0.2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1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</row>
    <row r="198" spans="1:54" x14ac:dyDescent="0.2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1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</row>
    <row r="199" spans="1:54" x14ac:dyDescent="0.2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1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</row>
    <row r="200" spans="1:54" x14ac:dyDescent="0.2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1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</row>
    <row r="201" spans="1:54" x14ac:dyDescent="0.2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1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</row>
    <row r="202" spans="1:54" x14ac:dyDescent="0.2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1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</row>
    <row r="203" spans="1:54" x14ac:dyDescent="0.2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1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</row>
    <row r="204" spans="1:54" x14ac:dyDescent="0.2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1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</row>
    <row r="205" spans="1:54" x14ac:dyDescent="0.2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1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</row>
    <row r="206" spans="1:54" x14ac:dyDescent="0.2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1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</row>
    <row r="207" spans="1:54" x14ac:dyDescent="0.2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1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</row>
    <row r="208" spans="1:54" x14ac:dyDescent="0.2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1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</row>
    <row r="209" spans="1:54" x14ac:dyDescent="0.2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1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</row>
    <row r="210" spans="1:54" x14ac:dyDescent="0.2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1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</row>
    <row r="211" spans="1:54" x14ac:dyDescent="0.2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1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</row>
    <row r="212" spans="1:54" x14ac:dyDescent="0.2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1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</row>
    <row r="213" spans="1:54" x14ac:dyDescent="0.2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1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</row>
    <row r="214" spans="1:54" x14ac:dyDescent="0.2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1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</row>
    <row r="215" spans="1:54" x14ac:dyDescent="0.2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1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</row>
    <row r="216" spans="1:54" x14ac:dyDescent="0.2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1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</row>
    <row r="217" spans="1:54" x14ac:dyDescent="0.2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1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</row>
    <row r="218" spans="1:54" x14ac:dyDescent="0.2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1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</row>
    <row r="219" spans="1:54" x14ac:dyDescent="0.2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1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</row>
    <row r="220" spans="1:54" x14ac:dyDescent="0.2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1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</row>
    <row r="221" spans="1:54" x14ac:dyDescent="0.2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1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</row>
    <row r="222" spans="1:54" x14ac:dyDescent="0.2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1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</row>
    <row r="223" spans="1:54" x14ac:dyDescent="0.2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1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</row>
    <row r="224" spans="1:54" x14ac:dyDescent="0.2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1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</row>
    <row r="225" spans="1:54" x14ac:dyDescent="0.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1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</row>
    <row r="226" spans="1:54" x14ac:dyDescent="0.2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1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</row>
    <row r="227" spans="1:54" x14ac:dyDescent="0.2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1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</row>
    <row r="228" spans="1:54" x14ac:dyDescent="0.2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1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</row>
    <row r="229" spans="1:54" x14ac:dyDescent="0.2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1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</row>
    <row r="230" spans="1:54" x14ac:dyDescent="0.2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1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</row>
    <row r="231" spans="1:54" x14ac:dyDescent="0.2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1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</row>
    <row r="232" spans="1:54" x14ac:dyDescent="0.2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1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</row>
    <row r="233" spans="1:54" x14ac:dyDescent="0.2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1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</row>
    <row r="234" spans="1:54" x14ac:dyDescent="0.2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1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</row>
    <row r="235" spans="1:54" x14ac:dyDescent="0.2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1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</row>
    <row r="236" spans="1:54" x14ac:dyDescent="0.2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1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</row>
    <row r="237" spans="1:54" x14ac:dyDescent="0.2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1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</row>
    <row r="238" spans="1:54" x14ac:dyDescent="0.2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1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</row>
    <row r="239" spans="1:54" x14ac:dyDescent="0.2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1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</row>
    <row r="240" spans="1:54" x14ac:dyDescent="0.2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1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</row>
    <row r="241" spans="1:54" x14ac:dyDescent="0.2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1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</row>
    <row r="242" spans="1:54" x14ac:dyDescent="0.2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1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</row>
    <row r="243" spans="1:54" x14ac:dyDescent="0.2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1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</row>
    <row r="244" spans="1:54" x14ac:dyDescent="0.2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1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</row>
    <row r="245" spans="1:54" x14ac:dyDescent="0.2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1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</row>
    <row r="246" spans="1:54" x14ac:dyDescent="0.2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1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</row>
    <row r="247" spans="1:54" x14ac:dyDescent="0.2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1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</row>
    <row r="248" spans="1:54" x14ac:dyDescent="0.2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1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</row>
    <row r="249" spans="1:54" x14ac:dyDescent="0.2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1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</row>
    <row r="250" spans="1:54" x14ac:dyDescent="0.2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1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</row>
    <row r="251" spans="1:54" x14ac:dyDescent="0.2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1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</row>
    <row r="252" spans="1:54" x14ac:dyDescent="0.2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1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</row>
    <row r="253" spans="1:54" x14ac:dyDescent="0.2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1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</row>
    <row r="254" spans="1:54" x14ac:dyDescent="0.2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1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</row>
    <row r="255" spans="1:54" x14ac:dyDescent="0.2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1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</row>
    <row r="256" spans="1:54" x14ac:dyDescent="0.2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1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</row>
    <row r="257" spans="1:54" x14ac:dyDescent="0.2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1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</row>
    <row r="258" spans="1:54" x14ac:dyDescent="0.2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1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</row>
    <row r="259" spans="1:54" x14ac:dyDescent="0.2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1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</row>
    <row r="260" spans="1:54" x14ac:dyDescent="0.2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1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</row>
    <row r="261" spans="1:54" x14ac:dyDescent="0.2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1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</row>
    <row r="262" spans="1:54" x14ac:dyDescent="0.2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1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</row>
    <row r="263" spans="1:54" x14ac:dyDescent="0.2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1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</row>
    <row r="264" spans="1:54" x14ac:dyDescent="0.2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1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</row>
    <row r="265" spans="1:54" x14ac:dyDescent="0.2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1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</row>
    <row r="266" spans="1:54" x14ac:dyDescent="0.2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1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</row>
    <row r="267" spans="1:54" x14ac:dyDescent="0.2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1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</row>
    <row r="268" spans="1:54" x14ac:dyDescent="0.2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1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</row>
    <row r="269" spans="1:54" x14ac:dyDescent="0.2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1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</row>
    <row r="270" spans="1:54" x14ac:dyDescent="0.2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1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</row>
    <row r="271" spans="1:54" x14ac:dyDescent="0.2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1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</row>
    <row r="272" spans="1:54" x14ac:dyDescent="0.2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1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</row>
    <row r="273" spans="1:54" x14ac:dyDescent="0.2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1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</row>
    <row r="274" spans="1:54" x14ac:dyDescent="0.2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1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</row>
    <row r="275" spans="1:54" x14ac:dyDescent="0.2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1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</row>
    <row r="276" spans="1:54" x14ac:dyDescent="0.2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1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</row>
    <row r="277" spans="1:54" x14ac:dyDescent="0.2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1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</row>
    <row r="278" spans="1:54" x14ac:dyDescent="0.2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1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</row>
    <row r="279" spans="1:54" x14ac:dyDescent="0.2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1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</row>
    <row r="280" spans="1:54" x14ac:dyDescent="0.2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1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</row>
    <row r="281" spans="1:54" x14ac:dyDescent="0.2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1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</row>
    <row r="282" spans="1:54" x14ac:dyDescent="0.2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1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</row>
    <row r="283" spans="1:54" x14ac:dyDescent="0.2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1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</row>
    <row r="284" spans="1:54" x14ac:dyDescent="0.2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1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</row>
    <row r="285" spans="1:54" x14ac:dyDescent="0.2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1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</row>
    <row r="286" spans="1:54" x14ac:dyDescent="0.2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1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</row>
    <row r="287" spans="1:54" x14ac:dyDescent="0.2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1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</row>
    <row r="288" spans="1:54" x14ac:dyDescent="0.2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1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</row>
    <row r="289" spans="1:54" x14ac:dyDescent="0.2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1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</row>
    <row r="290" spans="1:54" x14ac:dyDescent="0.2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1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</row>
    <row r="291" spans="1:54" x14ac:dyDescent="0.2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1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</row>
    <row r="292" spans="1:54" x14ac:dyDescent="0.2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1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</row>
    <row r="293" spans="1:54" x14ac:dyDescent="0.2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1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</row>
    <row r="294" spans="1:54" x14ac:dyDescent="0.2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1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</row>
    <row r="295" spans="1:54" x14ac:dyDescent="0.2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1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</row>
    <row r="296" spans="1:54" x14ac:dyDescent="0.2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1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</row>
    <row r="297" spans="1:54" x14ac:dyDescent="0.2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1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</row>
    <row r="298" spans="1:54" x14ac:dyDescent="0.2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1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</row>
    <row r="299" spans="1:54" x14ac:dyDescent="0.2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1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</row>
    <row r="300" spans="1:54" x14ac:dyDescent="0.2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1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</row>
    <row r="301" spans="1:54" x14ac:dyDescent="0.2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1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</row>
    <row r="302" spans="1:54" x14ac:dyDescent="0.2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1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</row>
    <row r="303" spans="1:54" x14ac:dyDescent="0.2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1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</row>
    <row r="304" spans="1:54" x14ac:dyDescent="0.2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1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</row>
    <row r="305" spans="1:54" x14ac:dyDescent="0.2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1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</row>
    <row r="306" spans="1:54" x14ac:dyDescent="0.2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1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</row>
    <row r="307" spans="1:54" x14ac:dyDescent="0.2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1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</row>
    <row r="308" spans="1:54" x14ac:dyDescent="0.2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1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</row>
    <row r="309" spans="1:54" x14ac:dyDescent="0.2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1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</row>
    <row r="310" spans="1:54" x14ac:dyDescent="0.2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1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</row>
    <row r="311" spans="1:54" x14ac:dyDescent="0.2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1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</row>
    <row r="312" spans="1:54" x14ac:dyDescent="0.2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1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</row>
    <row r="313" spans="1:54" x14ac:dyDescent="0.2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1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</row>
    <row r="314" spans="1:54" x14ac:dyDescent="0.2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1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</row>
    <row r="315" spans="1:54" x14ac:dyDescent="0.2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1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</row>
    <row r="316" spans="1:54" x14ac:dyDescent="0.2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1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</row>
    <row r="317" spans="1:54" x14ac:dyDescent="0.2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1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</row>
    <row r="318" spans="1:54" x14ac:dyDescent="0.2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1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</row>
    <row r="319" spans="1:54" x14ac:dyDescent="0.2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1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</row>
    <row r="320" spans="1:54" x14ac:dyDescent="0.2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1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</row>
    <row r="321" spans="1:54" x14ac:dyDescent="0.2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1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</row>
    <row r="322" spans="1:54" x14ac:dyDescent="0.2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1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</row>
    <row r="323" spans="1:54" x14ac:dyDescent="0.2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1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</row>
    <row r="324" spans="1:54" x14ac:dyDescent="0.2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1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</row>
    <row r="325" spans="1:54" x14ac:dyDescent="0.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1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</row>
    <row r="326" spans="1:54" x14ac:dyDescent="0.2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1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</row>
    <row r="327" spans="1:54" x14ac:dyDescent="0.2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1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</row>
    <row r="328" spans="1:54" x14ac:dyDescent="0.2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1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</row>
    <row r="329" spans="1:54" x14ac:dyDescent="0.2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1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</row>
    <row r="330" spans="1:54" x14ac:dyDescent="0.2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1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</row>
    <row r="331" spans="1:54" x14ac:dyDescent="0.2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1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</row>
    <row r="332" spans="1:54" x14ac:dyDescent="0.2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1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</row>
    <row r="333" spans="1:54" x14ac:dyDescent="0.2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1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</row>
    <row r="334" spans="1:54" x14ac:dyDescent="0.2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1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</row>
    <row r="335" spans="1:54" x14ac:dyDescent="0.2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1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</row>
    <row r="336" spans="1:54" x14ac:dyDescent="0.2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1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</row>
    <row r="337" spans="1:54" x14ac:dyDescent="0.2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1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</row>
    <row r="338" spans="1:54" x14ac:dyDescent="0.2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1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</row>
    <row r="339" spans="1:54" x14ac:dyDescent="0.2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1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</row>
    <row r="340" spans="1:54" x14ac:dyDescent="0.2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1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</row>
    <row r="341" spans="1:54" x14ac:dyDescent="0.2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1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</row>
    <row r="342" spans="1:54" x14ac:dyDescent="0.2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1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</row>
    <row r="343" spans="1:54" x14ac:dyDescent="0.2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1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</row>
    <row r="344" spans="1:54" x14ac:dyDescent="0.2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1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</row>
    <row r="345" spans="1:54" x14ac:dyDescent="0.2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1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</row>
    <row r="346" spans="1:54" x14ac:dyDescent="0.2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1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</row>
    <row r="347" spans="1:54" x14ac:dyDescent="0.2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1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</row>
    <row r="348" spans="1:54" x14ac:dyDescent="0.2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1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</row>
    <row r="349" spans="1:54" x14ac:dyDescent="0.2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1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</row>
    <row r="350" spans="1:54" x14ac:dyDescent="0.2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1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</row>
    <row r="351" spans="1:54" x14ac:dyDescent="0.2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1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</row>
    <row r="352" spans="1:54" x14ac:dyDescent="0.2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1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</row>
    <row r="353" spans="1:54" x14ac:dyDescent="0.2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1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</row>
    <row r="354" spans="1:54" x14ac:dyDescent="0.2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1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</row>
    <row r="355" spans="1:54" x14ac:dyDescent="0.2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1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</row>
    <row r="356" spans="1:54" x14ac:dyDescent="0.2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1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</row>
    <row r="357" spans="1:54" x14ac:dyDescent="0.2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1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</row>
    <row r="358" spans="1:54" x14ac:dyDescent="0.2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1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</row>
    <row r="359" spans="1:54" x14ac:dyDescent="0.2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1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</row>
    <row r="360" spans="1:54" x14ac:dyDescent="0.2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1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</row>
    <row r="361" spans="1:54" x14ac:dyDescent="0.2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1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</row>
    <row r="362" spans="1:54" x14ac:dyDescent="0.2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1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</row>
    <row r="363" spans="1:54" x14ac:dyDescent="0.2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1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</row>
    <row r="364" spans="1:54" x14ac:dyDescent="0.2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1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</row>
    <row r="365" spans="1:54" x14ac:dyDescent="0.2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1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</row>
    <row r="366" spans="1:54" x14ac:dyDescent="0.2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1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</row>
    <row r="367" spans="1:54" x14ac:dyDescent="0.2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1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</row>
    <row r="368" spans="1:54" x14ac:dyDescent="0.2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1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</row>
    <row r="369" spans="1:54" x14ac:dyDescent="0.2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1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</row>
    <row r="370" spans="1:54" x14ac:dyDescent="0.2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1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</row>
    <row r="371" spans="1:54" x14ac:dyDescent="0.2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1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</row>
    <row r="372" spans="1:54" x14ac:dyDescent="0.2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1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</row>
    <row r="373" spans="1:54" x14ac:dyDescent="0.2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1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</row>
    <row r="374" spans="1:54" x14ac:dyDescent="0.2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1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</row>
    <row r="375" spans="1:54" x14ac:dyDescent="0.2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1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</row>
    <row r="376" spans="1:54" x14ac:dyDescent="0.2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1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</row>
    <row r="377" spans="1:54" x14ac:dyDescent="0.2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1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</row>
    <row r="378" spans="1:54" x14ac:dyDescent="0.2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1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</row>
    <row r="379" spans="1:54" x14ac:dyDescent="0.2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1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</row>
    <row r="380" spans="1:54" x14ac:dyDescent="0.2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1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</row>
    <row r="381" spans="1:54" x14ac:dyDescent="0.2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1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</row>
    <row r="382" spans="1:54" x14ac:dyDescent="0.2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1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</row>
    <row r="383" spans="1:54" x14ac:dyDescent="0.2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1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</row>
    <row r="384" spans="1:54" x14ac:dyDescent="0.2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1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</row>
    <row r="385" spans="1:54" x14ac:dyDescent="0.2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1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</row>
    <row r="386" spans="1:54" x14ac:dyDescent="0.2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1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</row>
    <row r="387" spans="1:54" x14ac:dyDescent="0.2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1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</row>
    <row r="388" spans="1:54" x14ac:dyDescent="0.2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1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</row>
    <row r="389" spans="1:54" x14ac:dyDescent="0.2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1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</row>
    <row r="390" spans="1:54" x14ac:dyDescent="0.2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1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</row>
    <row r="391" spans="1:54" x14ac:dyDescent="0.2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1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</row>
    <row r="392" spans="1:54" x14ac:dyDescent="0.2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1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</row>
    <row r="393" spans="1:54" x14ac:dyDescent="0.2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1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</row>
    <row r="394" spans="1:54" x14ac:dyDescent="0.2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1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</row>
    <row r="395" spans="1:54" x14ac:dyDescent="0.2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1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</row>
    <row r="396" spans="1:54" x14ac:dyDescent="0.2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1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</row>
    <row r="397" spans="1:54" x14ac:dyDescent="0.2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1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</row>
    <row r="398" spans="1:54" x14ac:dyDescent="0.2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1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</row>
    <row r="399" spans="1:54" x14ac:dyDescent="0.2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1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</row>
    <row r="400" spans="1:54" x14ac:dyDescent="0.2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1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</row>
    <row r="401" spans="1:54" x14ac:dyDescent="0.2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1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</row>
    <row r="402" spans="1:54" x14ac:dyDescent="0.2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1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</row>
    <row r="403" spans="1:54" x14ac:dyDescent="0.2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1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</row>
    <row r="404" spans="1:54" x14ac:dyDescent="0.2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1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</row>
    <row r="405" spans="1:54" x14ac:dyDescent="0.2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1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</row>
    <row r="406" spans="1:54" x14ac:dyDescent="0.2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1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</row>
    <row r="407" spans="1:54" x14ac:dyDescent="0.2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1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</row>
    <row r="408" spans="1:54" x14ac:dyDescent="0.2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1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</row>
    <row r="409" spans="1:54" x14ac:dyDescent="0.2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1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</row>
    <row r="410" spans="1:54" x14ac:dyDescent="0.2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1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</row>
    <row r="411" spans="1:54" x14ac:dyDescent="0.2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1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</row>
    <row r="412" spans="1:54" x14ac:dyDescent="0.2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1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</row>
    <row r="413" spans="1:54" x14ac:dyDescent="0.2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1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</row>
    <row r="414" spans="1:54" x14ac:dyDescent="0.2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1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</row>
    <row r="415" spans="1:54" x14ac:dyDescent="0.2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1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</row>
    <row r="416" spans="1:54" x14ac:dyDescent="0.2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1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</row>
    <row r="417" spans="1:54" x14ac:dyDescent="0.2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1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</row>
    <row r="418" spans="1:54" x14ac:dyDescent="0.2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1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</row>
    <row r="419" spans="1:54" x14ac:dyDescent="0.2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1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</row>
    <row r="420" spans="1:54" x14ac:dyDescent="0.2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1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</row>
    <row r="421" spans="1:54" x14ac:dyDescent="0.2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1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</row>
    <row r="422" spans="1:54" x14ac:dyDescent="0.2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1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</row>
    <row r="423" spans="1:54" x14ac:dyDescent="0.2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1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</row>
    <row r="424" spans="1:54" x14ac:dyDescent="0.2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1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</row>
    <row r="425" spans="1:54" x14ac:dyDescent="0.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1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</row>
    <row r="426" spans="1:54" x14ac:dyDescent="0.2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1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</row>
    <row r="427" spans="1:54" x14ac:dyDescent="0.2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1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</row>
    <row r="428" spans="1:54" x14ac:dyDescent="0.2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1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</row>
    <row r="429" spans="1:54" x14ac:dyDescent="0.2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1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</row>
    <row r="430" spans="1:54" x14ac:dyDescent="0.2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1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</row>
    <row r="431" spans="1:54" x14ac:dyDescent="0.2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1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</row>
    <row r="432" spans="1:54" x14ac:dyDescent="0.2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1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</row>
    <row r="433" spans="1:54" x14ac:dyDescent="0.2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1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</row>
    <row r="434" spans="1:54" x14ac:dyDescent="0.2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1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</row>
    <row r="435" spans="1:54" x14ac:dyDescent="0.2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1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</row>
    <row r="436" spans="1:54" x14ac:dyDescent="0.2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1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</row>
    <row r="437" spans="1:54" x14ac:dyDescent="0.2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1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</row>
    <row r="438" spans="1:54" x14ac:dyDescent="0.2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1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</row>
    <row r="439" spans="1:54" x14ac:dyDescent="0.2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1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</row>
    <row r="440" spans="1:54" x14ac:dyDescent="0.2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1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</row>
    <row r="441" spans="1:54" x14ac:dyDescent="0.2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1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</row>
    <row r="442" spans="1:54" x14ac:dyDescent="0.2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1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</row>
    <row r="443" spans="1:54" x14ac:dyDescent="0.2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1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</row>
    <row r="444" spans="1:54" x14ac:dyDescent="0.2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1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</row>
    <row r="445" spans="1:54" x14ac:dyDescent="0.2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1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</row>
    <row r="446" spans="1:54" x14ac:dyDescent="0.2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1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</row>
    <row r="447" spans="1:54" x14ac:dyDescent="0.2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1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</row>
    <row r="448" spans="1:54" x14ac:dyDescent="0.2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1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</row>
    <row r="449" spans="1:54" x14ac:dyDescent="0.2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1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</row>
    <row r="450" spans="1:54" x14ac:dyDescent="0.2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1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</row>
    <row r="451" spans="1:54" x14ac:dyDescent="0.2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1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</row>
    <row r="452" spans="1:54" x14ac:dyDescent="0.2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1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</row>
    <row r="453" spans="1:54" x14ac:dyDescent="0.2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1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</row>
    <row r="454" spans="1:54" x14ac:dyDescent="0.2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1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</row>
    <row r="455" spans="1:54" x14ac:dyDescent="0.2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1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</row>
    <row r="456" spans="1:54" x14ac:dyDescent="0.2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1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</row>
    <row r="457" spans="1:54" x14ac:dyDescent="0.2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1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</row>
    <row r="458" spans="1:54" x14ac:dyDescent="0.2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1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</row>
    <row r="459" spans="1:54" x14ac:dyDescent="0.2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1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</row>
    <row r="460" spans="1:54" x14ac:dyDescent="0.2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1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</row>
    <row r="461" spans="1:54" x14ac:dyDescent="0.2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1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</row>
    <row r="462" spans="1:54" x14ac:dyDescent="0.2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1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</row>
    <row r="463" spans="1:54" x14ac:dyDescent="0.2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1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</row>
    <row r="464" spans="1:54" x14ac:dyDescent="0.2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1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</row>
    <row r="465" spans="1:54" x14ac:dyDescent="0.2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1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</row>
    <row r="466" spans="1:54" x14ac:dyDescent="0.2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1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</row>
    <row r="467" spans="1:54" x14ac:dyDescent="0.2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1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</row>
    <row r="468" spans="1:54" x14ac:dyDescent="0.2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1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</row>
    <row r="469" spans="1:54" x14ac:dyDescent="0.2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1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</row>
    <row r="470" spans="1:54" x14ac:dyDescent="0.2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1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</row>
    <row r="471" spans="1:54" x14ac:dyDescent="0.2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1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</row>
    <row r="472" spans="1:54" x14ac:dyDescent="0.2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1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</row>
    <row r="473" spans="1:54" x14ac:dyDescent="0.2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1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</row>
    <row r="474" spans="1:54" x14ac:dyDescent="0.2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1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</row>
    <row r="475" spans="1:54" x14ac:dyDescent="0.2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1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</row>
    <row r="476" spans="1:54" x14ac:dyDescent="0.2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1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</row>
    <row r="477" spans="1:54" x14ac:dyDescent="0.2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1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</row>
    <row r="478" spans="1:54" x14ac:dyDescent="0.2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1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</row>
    <row r="479" spans="1:54" x14ac:dyDescent="0.2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1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</row>
    <row r="480" spans="1:54" x14ac:dyDescent="0.2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1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</row>
    <row r="481" spans="1:54" x14ac:dyDescent="0.2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1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</row>
    <row r="482" spans="1:54" x14ac:dyDescent="0.2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1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</row>
    <row r="483" spans="1:54" x14ac:dyDescent="0.2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1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</row>
    <row r="484" spans="1:54" x14ac:dyDescent="0.2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1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</row>
    <row r="485" spans="1:54" x14ac:dyDescent="0.2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1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</row>
    <row r="486" spans="1:54" x14ac:dyDescent="0.2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1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</row>
    <row r="487" spans="1:54" x14ac:dyDescent="0.2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1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</row>
    <row r="488" spans="1:54" x14ac:dyDescent="0.2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1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</row>
    <row r="489" spans="1:54" x14ac:dyDescent="0.2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1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</row>
    <row r="490" spans="1:54" x14ac:dyDescent="0.2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1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</row>
    <row r="491" spans="1:54" x14ac:dyDescent="0.2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1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</row>
    <row r="492" spans="1:54" x14ac:dyDescent="0.2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1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</row>
    <row r="493" spans="1:54" x14ac:dyDescent="0.2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1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</row>
    <row r="494" spans="1:54" x14ac:dyDescent="0.2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1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</row>
    <row r="495" spans="1:54" x14ac:dyDescent="0.2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1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</row>
    <row r="496" spans="1:54" x14ac:dyDescent="0.2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1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</row>
    <row r="497" spans="1:54" x14ac:dyDescent="0.2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1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</row>
    <row r="498" spans="1:54" x14ac:dyDescent="0.2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1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</row>
    <row r="499" spans="1:54" x14ac:dyDescent="0.2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1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</row>
    <row r="500" spans="1:54" x14ac:dyDescent="0.2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1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</row>
    <row r="501" spans="1:54" x14ac:dyDescent="0.2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1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</row>
    <row r="502" spans="1:54" x14ac:dyDescent="0.2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1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</row>
    <row r="503" spans="1:54" x14ac:dyDescent="0.2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1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</row>
    <row r="504" spans="1:54" x14ac:dyDescent="0.2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1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</row>
    <row r="505" spans="1:54" x14ac:dyDescent="0.2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1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</row>
    <row r="506" spans="1:54" x14ac:dyDescent="0.2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1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</row>
    <row r="507" spans="1:54" x14ac:dyDescent="0.2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1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</row>
    <row r="508" spans="1:54" x14ac:dyDescent="0.2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1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</row>
    <row r="509" spans="1:54" x14ac:dyDescent="0.2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1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</row>
    <row r="510" spans="1:54" x14ac:dyDescent="0.2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1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</row>
    <row r="511" spans="1:54" x14ac:dyDescent="0.2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1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</row>
    <row r="512" spans="1:54" x14ac:dyDescent="0.2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1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</row>
    <row r="513" spans="1:54" x14ac:dyDescent="0.2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1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</row>
    <row r="514" spans="1:54" x14ac:dyDescent="0.2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1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</row>
    <row r="515" spans="1:54" x14ac:dyDescent="0.2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1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</row>
    <row r="516" spans="1:54" x14ac:dyDescent="0.2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1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</row>
    <row r="517" spans="1:54" x14ac:dyDescent="0.2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1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</row>
    <row r="518" spans="1:54" x14ac:dyDescent="0.2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1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</row>
    <row r="519" spans="1:54" x14ac:dyDescent="0.2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1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</row>
    <row r="520" spans="1:54" x14ac:dyDescent="0.2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1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</row>
    <row r="521" spans="1:54" x14ac:dyDescent="0.2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1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</row>
    <row r="522" spans="1:54" x14ac:dyDescent="0.2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1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</row>
    <row r="523" spans="1:54" x14ac:dyDescent="0.2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1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</row>
    <row r="524" spans="1:54" x14ac:dyDescent="0.2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1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</row>
    <row r="525" spans="1:54" x14ac:dyDescent="0.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1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</row>
    <row r="526" spans="1:54" x14ac:dyDescent="0.2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1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</row>
    <row r="527" spans="1:54" x14ac:dyDescent="0.2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1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</row>
    <row r="528" spans="1:54" x14ac:dyDescent="0.2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1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</row>
    <row r="529" spans="1:54" x14ac:dyDescent="0.2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1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</row>
    <row r="530" spans="1:54" x14ac:dyDescent="0.2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1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</row>
    <row r="531" spans="1:54" x14ac:dyDescent="0.2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1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</row>
    <row r="532" spans="1:54" x14ac:dyDescent="0.2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1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</row>
    <row r="533" spans="1:54" x14ac:dyDescent="0.2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1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</row>
    <row r="534" spans="1:54" x14ac:dyDescent="0.2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1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</row>
    <row r="535" spans="1:54" x14ac:dyDescent="0.2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1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</row>
    <row r="536" spans="1:54" x14ac:dyDescent="0.2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1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</row>
    <row r="537" spans="1:54" x14ac:dyDescent="0.2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1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</row>
    <row r="538" spans="1:54" x14ac:dyDescent="0.2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1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</row>
    <row r="539" spans="1:54" x14ac:dyDescent="0.2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1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</row>
    <row r="540" spans="1:54" x14ac:dyDescent="0.2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1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</row>
    <row r="541" spans="1:54" x14ac:dyDescent="0.2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1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</row>
    <row r="542" spans="1:54" x14ac:dyDescent="0.2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1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</row>
    <row r="543" spans="1:54" x14ac:dyDescent="0.2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1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</row>
    <row r="544" spans="1:54" x14ac:dyDescent="0.2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1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</row>
    <row r="545" spans="1:54" x14ac:dyDescent="0.2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1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</row>
    <row r="546" spans="1:54" x14ac:dyDescent="0.2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1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</row>
    <row r="547" spans="1:54" x14ac:dyDescent="0.2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1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</row>
    <row r="548" spans="1:54" x14ac:dyDescent="0.2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1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</row>
    <row r="549" spans="1:54" x14ac:dyDescent="0.2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1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</row>
    <row r="550" spans="1:54" x14ac:dyDescent="0.2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1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</row>
    <row r="551" spans="1:54" x14ac:dyDescent="0.2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1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</row>
    <row r="552" spans="1:54" x14ac:dyDescent="0.2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1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</row>
    <row r="553" spans="1:54" x14ac:dyDescent="0.2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1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</row>
    <row r="554" spans="1:54" x14ac:dyDescent="0.2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1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</row>
    <row r="555" spans="1:54" x14ac:dyDescent="0.2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1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</row>
    <row r="556" spans="1:54" x14ac:dyDescent="0.2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1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</row>
    <row r="557" spans="1:54" x14ac:dyDescent="0.2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1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</row>
    <row r="558" spans="1:54" x14ac:dyDescent="0.2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1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</row>
    <row r="559" spans="1:54" x14ac:dyDescent="0.2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1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</row>
    <row r="560" spans="1:54" x14ac:dyDescent="0.2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1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</row>
    <row r="561" spans="1:54" x14ac:dyDescent="0.2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1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</row>
    <row r="562" spans="1:54" x14ac:dyDescent="0.2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1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</row>
    <row r="563" spans="1:54" x14ac:dyDescent="0.2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1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</row>
    <row r="564" spans="1:54" x14ac:dyDescent="0.2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1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</row>
    <row r="565" spans="1:54" x14ac:dyDescent="0.2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1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</row>
    <row r="566" spans="1:54" x14ac:dyDescent="0.2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1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</row>
    <row r="567" spans="1:54" x14ac:dyDescent="0.2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1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</row>
    <row r="568" spans="1:54" x14ac:dyDescent="0.2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1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</row>
    <row r="569" spans="1:54" x14ac:dyDescent="0.2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1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</row>
    <row r="570" spans="1:54" x14ac:dyDescent="0.2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1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</row>
    <row r="571" spans="1:54" x14ac:dyDescent="0.2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1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</row>
    <row r="572" spans="1:54" x14ac:dyDescent="0.2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1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</row>
    <row r="573" spans="1:54" x14ac:dyDescent="0.2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1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</row>
    <row r="574" spans="1:54" x14ac:dyDescent="0.2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1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</row>
    <row r="575" spans="1:54" x14ac:dyDescent="0.2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1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</row>
    <row r="576" spans="1:54" x14ac:dyDescent="0.2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1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</row>
    <row r="577" spans="1:54" x14ac:dyDescent="0.2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1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</row>
    <row r="578" spans="1:54" x14ac:dyDescent="0.2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1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</row>
    <row r="579" spans="1:54" x14ac:dyDescent="0.2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1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</row>
    <row r="580" spans="1:54" x14ac:dyDescent="0.2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1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</row>
    <row r="581" spans="1:54" x14ac:dyDescent="0.2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1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</row>
    <row r="582" spans="1:54" x14ac:dyDescent="0.2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1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</row>
    <row r="583" spans="1:54" x14ac:dyDescent="0.2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1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</row>
    <row r="584" spans="1:54" x14ac:dyDescent="0.2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1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</row>
    <row r="585" spans="1:54" x14ac:dyDescent="0.2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1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</row>
    <row r="586" spans="1:54" x14ac:dyDescent="0.2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1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</row>
    <row r="587" spans="1:54" x14ac:dyDescent="0.2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1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</row>
    <row r="588" spans="1:54" x14ac:dyDescent="0.2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1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</row>
    <row r="589" spans="1:54" x14ac:dyDescent="0.2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1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</row>
    <row r="590" spans="1:54" x14ac:dyDescent="0.2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1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</row>
    <row r="591" spans="1:54" x14ac:dyDescent="0.2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1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</row>
    <row r="592" spans="1:54" x14ac:dyDescent="0.2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1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</row>
    <row r="593" spans="1:54" x14ac:dyDescent="0.2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1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</row>
    <row r="594" spans="1:54" x14ac:dyDescent="0.2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1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</row>
    <row r="595" spans="1:54" x14ac:dyDescent="0.2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1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</row>
    <row r="596" spans="1:54" x14ac:dyDescent="0.2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1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</row>
    <row r="597" spans="1:54" x14ac:dyDescent="0.2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1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</row>
    <row r="598" spans="1:54" x14ac:dyDescent="0.2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1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</row>
    <row r="599" spans="1:54" x14ac:dyDescent="0.2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1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</row>
    <row r="600" spans="1:54" x14ac:dyDescent="0.2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1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</row>
    <row r="601" spans="1:54" x14ac:dyDescent="0.2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1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</row>
    <row r="602" spans="1:54" x14ac:dyDescent="0.2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1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</row>
    <row r="603" spans="1:54" x14ac:dyDescent="0.2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1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</row>
    <row r="604" spans="1:54" x14ac:dyDescent="0.2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1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</row>
    <row r="605" spans="1:54" x14ac:dyDescent="0.2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1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</row>
    <row r="606" spans="1:54" x14ac:dyDescent="0.2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1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</row>
    <row r="607" spans="1:54" x14ac:dyDescent="0.2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1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</row>
    <row r="608" spans="1:54" x14ac:dyDescent="0.2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1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</row>
    <row r="609" spans="1:54" x14ac:dyDescent="0.2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1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</row>
    <row r="610" spans="1:54" x14ac:dyDescent="0.2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1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</row>
    <row r="611" spans="1:54" x14ac:dyDescent="0.2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1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</row>
    <row r="612" spans="1:54" x14ac:dyDescent="0.2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1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</row>
    <row r="613" spans="1:54" x14ac:dyDescent="0.2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1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</row>
    <row r="614" spans="1:54" x14ac:dyDescent="0.2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1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</row>
    <row r="615" spans="1:54" x14ac:dyDescent="0.2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1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</row>
    <row r="616" spans="1:54" x14ac:dyDescent="0.2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1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</row>
    <row r="617" spans="1:54" x14ac:dyDescent="0.2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1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</row>
    <row r="618" spans="1:54" x14ac:dyDescent="0.2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1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</row>
    <row r="619" spans="1:54" x14ac:dyDescent="0.2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1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</row>
    <row r="620" spans="1:54" x14ac:dyDescent="0.2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1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</row>
    <row r="621" spans="1:54" x14ac:dyDescent="0.2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1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</row>
    <row r="622" spans="1:54" x14ac:dyDescent="0.2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1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</row>
    <row r="623" spans="1:54" x14ac:dyDescent="0.2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1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</row>
    <row r="624" spans="1:54" x14ac:dyDescent="0.2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1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</row>
    <row r="625" spans="1:54" x14ac:dyDescent="0.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1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</row>
    <row r="626" spans="1:54" x14ac:dyDescent="0.2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1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</row>
    <row r="627" spans="1:54" x14ac:dyDescent="0.2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1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</row>
    <row r="628" spans="1:54" x14ac:dyDescent="0.2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1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</row>
    <row r="629" spans="1:54" x14ac:dyDescent="0.2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1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</row>
    <row r="630" spans="1:54" x14ac:dyDescent="0.2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1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</row>
    <row r="631" spans="1:54" x14ac:dyDescent="0.2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1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</row>
    <row r="632" spans="1:54" x14ac:dyDescent="0.2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1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</row>
    <row r="633" spans="1:54" x14ac:dyDescent="0.2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1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</row>
    <row r="634" spans="1:54" x14ac:dyDescent="0.2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1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</row>
    <row r="635" spans="1:54" x14ac:dyDescent="0.2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1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</row>
    <row r="636" spans="1:54" x14ac:dyDescent="0.2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1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</row>
    <row r="637" spans="1:54" x14ac:dyDescent="0.2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1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</row>
    <row r="638" spans="1:54" x14ac:dyDescent="0.2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1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</row>
    <row r="639" spans="1:54" x14ac:dyDescent="0.2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1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</row>
    <row r="640" spans="1:54" x14ac:dyDescent="0.2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1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</row>
    <row r="641" spans="1:54" x14ac:dyDescent="0.2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1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</row>
    <row r="642" spans="1:54" x14ac:dyDescent="0.2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1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</row>
    <row r="643" spans="1:54" x14ac:dyDescent="0.2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1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</row>
    <row r="644" spans="1:54" x14ac:dyDescent="0.2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1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</row>
    <row r="645" spans="1:54" x14ac:dyDescent="0.2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1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</row>
    <row r="646" spans="1:54" x14ac:dyDescent="0.2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1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</row>
    <row r="647" spans="1:54" x14ac:dyDescent="0.2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1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</row>
    <row r="648" spans="1:54" x14ac:dyDescent="0.2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1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</row>
    <row r="649" spans="1:54" x14ac:dyDescent="0.2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1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</row>
    <row r="650" spans="1:54" x14ac:dyDescent="0.2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1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</row>
    <row r="651" spans="1:54" x14ac:dyDescent="0.2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1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</row>
    <row r="652" spans="1:54" x14ac:dyDescent="0.2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1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</row>
    <row r="653" spans="1:54" x14ac:dyDescent="0.2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1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</row>
    <row r="654" spans="1:54" x14ac:dyDescent="0.2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1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</row>
    <row r="655" spans="1:54" x14ac:dyDescent="0.2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1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</row>
    <row r="656" spans="1:54" x14ac:dyDescent="0.2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1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</row>
    <row r="657" spans="1:54" x14ac:dyDescent="0.2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1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</row>
    <row r="658" spans="1:54" x14ac:dyDescent="0.2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1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</row>
    <row r="659" spans="1:54" x14ac:dyDescent="0.2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1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</row>
    <row r="660" spans="1:54" x14ac:dyDescent="0.2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1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</row>
    <row r="661" spans="1:54" x14ac:dyDescent="0.2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1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</row>
    <row r="662" spans="1:54" x14ac:dyDescent="0.2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1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</row>
    <row r="663" spans="1:54" x14ac:dyDescent="0.2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1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</row>
    <row r="664" spans="1:54" x14ac:dyDescent="0.2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1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</row>
    <row r="665" spans="1:54" x14ac:dyDescent="0.2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1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</row>
    <row r="666" spans="1:54" x14ac:dyDescent="0.2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1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</row>
    <row r="667" spans="1:54" x14ac:dyDescent="0.2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1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</row>
    <row r="668" spans="1:54" x14ac:dyDescent="0.2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1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</row>
    <row r="669" spans="1:54" x14ac:dyDescent="0.2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1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</row>
    <row r="670" spans="1:54" x14ac:dyDescent="0.2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1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</row>
    <row r="671" spans="1:54" x14ac:dyDescent="0.2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1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</row>
    <row r="672" spans="1:54" x14ac:dyDescent="0.2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1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</row>
    <row r="673" spans="1:54" x14ac:dyDescent="0.2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1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</row>
    <row r="674" spans="1:54" x14ac:dyDescent="0.2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1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</row>
    <row r="675" spans="1:54" x14ac:dyDescent="0.2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1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</row>
    <row r="676" spans="1:54" x14ac:dyDescent="0.2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1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</row>
    <row r="677" spans="1:54" x14ac:dyDescent="0.2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1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</row>
    <row r="678" spans="1:54" x14ac:dyDescent="0.2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1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</row>
    <row r="679" spans="1:54" x14ac:dyDescent="0.2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1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</row>
    <row r="680" spans="1:54" x14ac:dyDescent="0.2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1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</row>
    <row r="681" spans="1:54" x14ac:dyDescent="0.2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1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</row>
    <row r="682" spans="1:54" x14ac:dyDescent="0.2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1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</row>
    <row r="683" spans="1:54" x14ac:dyDescent="0.2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1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</row>
    <row r="684" spans="1:54" x14ac:dyDescent="0.2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1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</row>
    <row r="685" spans="1:54" x14ac:dyDescent="0.2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1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</row>
    <row r="686" spans="1:54" x14ac:dyDescent="0.2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1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</row>
    <row r="687" spans="1:54" x14ac:dyDescent="0.2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1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</row>
    <row r="688" spans="1:54" x14ac:dyDescent="0.2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1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</row>
    <row r="689" spans="1:54" x14ac:dyDescent="0.2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1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</row>
    <row r="690" spans="1:54" x14ac:dyDescent="0.2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1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</row>
    <row r="691" spans="1:54" x14ac:dyDescent="0.2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1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</row>
    <row r="692" spans="1:54" x14ac:dyDescent="0.2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1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</row>
    <row r="693" spans="1:54" x14ac:dyDescent="0.2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1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</row>
    <row r="694" spans="1:54" x14ac:dyDescent="0.2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1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</row>
    <row r="695" spans="1:54" x14ac:dyDescent="0.2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1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</row>
    <row r="696" spans="1:54" x14ac:dyDescent="0.2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1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</row>
    <row r="697" spans="1:54" x14ac:dyDescent="0.2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1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</row>
    <row r="698" spans="1:54" x14ac:dyDescent="0.2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1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</row>
    <row r="699" spans="1:54" x14ac:dyDescent="0.2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1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</row>
    <row r="700" spans="1:54" x14ac:dyDescent="0.2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1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</row>
    <row r="701" spans="1:54" x14ac:dyDescent="0.2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1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</row>
    <row r="702" spans="1:54" x14ac:dyDescent="0.2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1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</row>
    <row r="703" spans="1:54" x14ac:dyDescent="0.2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1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</row>
    <row r="704" spans="1:54" x14ac:dyDescent="0.2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1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</row>
    <row r="705" spans="1:54" x14ac:dyDescent="0.2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1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</row>
    <row r="706" spans="1:54" x14ac:dyDescent="0.2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1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</row>
    <row r="707" spans="1:54" x14ac:dyDescent="0.2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1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</row>
    <row r="708" spans="1:54" x14ac:dyDescent="0.2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1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</row>
    <row r="709" spans="1:54" x14ac:dyDescent="0.2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1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</row>
    <row r="710" spans="1:54" x14ac:dyDescent="0.2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1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</row>
    <row r="711" spans="1:54" x14ac:dyDescent="0.2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1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</row>
    <row r="712" spans="1:54" x14ac:dyDescent="0.2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1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</row>
    <row r="713" spans="1:54" x14ac:dyDescent="0.2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1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</row>
    <row r="714" spans="1:54" x14ac:dyDescent="0.2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1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</row>
    <row r="715" spans="1:54" x14ac:dyDescent="0.2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1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</row>
    <row r="716" spans="1:54" x14ac:dyDescent="0.2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1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</row>
    <row r="717" spans="1:54" x14ac:dyDescent="0.2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1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</row>
    <row r="718" spans="1:54" x14ac:dyDescent="0.2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1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</row>
    <row r="719" spans="1:54" x14ac:dyDescent="0.2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1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</row>
    <row r="720" spans="1:54" x14ac:dyDescent="0.2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1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</row>
    <row r="721" spans="1:54" x14ac:dyDescent="0.2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1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</row>
    <row r="722" spans="1:54" x14ac:dyDescent="0.2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1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</row>
    <row r="723" spans="1:54" x14ac:dyDescent="0.2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1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</row>
    <row r="724" spans="1:54" x14ac:dyDescent="0.2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1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</row>
    <row r="725" spans="1:54" x14ac:dyDescent="0.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1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</row>
    <row r="726" spans="1:54" x14ac:dyDescent="0.2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1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</row>
    <row r="727" spans="1:54" x14ac:dyDescent="0.2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1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</row>
    <row r="728" spans="1:54" x14ac:dyDescent="0.2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1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</row>
    <row r="729" spans="1:54" x14ac:dyDescent="0.2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1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</row>
    <row r="730" spans="1:54" x14ac:dyDescent="0.2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1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</row>
    <row r="731" spans="1:54" x14ac:dyDescent="0.2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1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</row>
    <row r="732" spans="1:54" x14ac:dyDescent="0.2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1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</row>
    <row r="733" spans="1:54" x14ac:dyDescent="0.2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1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</row>
    <row r="734" spans="1:54" x14ac:dyDescent="0.2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1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</row>
    <row r="735" spans="1:54" x14ac:dyDescent="0.2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1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</row>
    <row r="736" spans="1:54" x14ac:dyDescent="0.2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1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</row>
    <row r="737" spans="1:54" x14ac:dyDescent="0.2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1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</row>
    <row r="738" spans="1:54" x14ac:dyDescent="0.2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1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</row>
    <row r="739" spans="1:54" x14ac:dyDescent="0.2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1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</row>
    <row r="740" spans="1:54" x14ac:dyDescent="0.2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1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</row>
    <row r="741" spans="1:54" x14ac:dyDescent="0.2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1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</row>
    <row r="742" spans="1:54" x14ac:dyDescent="0.2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1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</row>
    <row r="743" spans="1:54" x14ac:dyDescent="0.2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1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</row>
    <row r="744" spans="1:54" x14ac:dyDescent="0.2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1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</row>
    <row r="745" spans="1:54" x14ac:dyDescent="0.2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1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</row>
    <row r="746" spans="1:54" x14ac:dyDescent="0.2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1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</row>
    <row r="747" spans="1:54" x14ac:dyDescent="0.2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1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</row>
    <row r="748" spans="1:54" x14ac:dyDescent="0.2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1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</row>
    <row r="749" spans="1:54" x14ac:dyDescent="0.2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1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</row>
    <row r="750" spans="1:54" x14ac:dyDescent="0.2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1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</row>
    <row r="751" spans="1:54" x14ac:dyDescent="0.2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1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</row>
    <row r="752" spans="1:54" x14ac:dyDescent="0.2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1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</row>
    <row r="753" spans="1:54" x14ac:dyDescent="0.2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1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</row>
    <row r="754" spans="1:54" x14ac:dyDescent="0.2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1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</row>
    <row r="755" spans="1:54" x14ac:dyDescent="0.2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1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</row>
    <row r="756" spans="1:54" x14ac:dyDescent="0.2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1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</row>
    <row r="757" spans="1:54" x14ac:dyDescent="0.2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1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</row>
    <row r="758" spans="1:54" x14ac:dyDescent="0.2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1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</row>
    <row r="759" spans="1:54" x14ac:dyDescent="0.2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1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</row>
    <row r="760" spans="1:54" x14ac:dyDescent="0.2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1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</row>
    <row r="761" spans="1:54" x14ac:dyDescent="0.2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1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</row>
    <row r="762" spans="1:54" x14ac:dyDescent="0.2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1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</row>
    <row r="763" spans="1:54" x14ac:dyDescent="0.2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1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</row>
    <row r="764" spans="1:54" x14ac:dyDescent="0.2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1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</row>
    <row r="765" spans="1:54" x14ac:dyDescent="0.2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1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</row>
    <row r="766" spans="1:54" x14ac:dyDescent="0.2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1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</row>
    <row r="767" spans="1:54" x14ac:dyDescent="0.2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1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</row>
    <row r="768" spans="1:54" x14ac:dyDescent="0.2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1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</row>
    <row r="769" spans="1:54" x14ac:dyDescent="0.2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1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</row>
    <row r="770" spans="1:54" x14ac:dyDescent="0.2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1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</row>
    <row r="771" spans="1:54" x14ac:dyDescent="0.2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1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</row>
    <row r="772" spans="1:54" x14ac:dyDescent="0.2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1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</row>
    <row r="773" spans="1:54" x14ac:dyDescent="0.2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1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</row>
    <row r="774" spans="1:54" x14ac:dyDescent="0.2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1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</row>
    <row r="775" spans="1:54" x14ac:dyDescent="0.2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1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</row>
    <row r="776" spans="1:54" x14ac:dyDescent="0.2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1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</row>
    <row r="777" spans="1:54" x14ac:dyDescent="0.2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1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</row>
    <row r="778" spans="1:54" x14ac:dyDescent="0.2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1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</row>
    <row r="779" spans="1:54" x14ac:dyDescent="0.2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1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</row>
    <row r="780" spans="1:54" x14ac:dyDescent="0.2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1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</row>
    <row r="781" spans="1:54" x14ac:dyDescent="0.2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1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</row>
    <row r="782" spans="1:54" x14ac:dyDescent="0.2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1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</row>
    <row r="783" spans="1:54" x14ac:dyDescent="0.2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1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</row>
    <row r="784" spans="1:54" x14ac:dyDescent="0.2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1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</row>
    <row r="785" spans="1:54" x14ac:dyDescent="0.2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1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</row>
    <row r="786" spans="1:54" x14ac:dyDescent="0.2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1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</row>
    <row r="787" spans="1:54" x14ac:dyDescent="0.2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1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</row>
    <row r="788" spans="1:54" x14ac:dyDescent="0.2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1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</row>
    <row r="789" spans="1:54" x14ac:dyDescent="0.2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1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</row>
    <row r="790" spans="1:54" x14ac:dyDescent="0.2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1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</row>
    <row r="791" spans="1:54" x14ac:dyDescent="0.2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1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</row>
    <row r="792" spans="1:54" x14ac:dyDescent="0.2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1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</row>
    <row r="793" spans="1:54" x14ac:dyDescent="0.2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1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</row>
    <row r="794" spans="1:54" x14ac:dyDescent="0.2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1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</row>
    <row r="795" spans="1:54" x14ac:dyDescent="0.2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1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</row>
    <row r="796" spans="1:54" x14ac:dyDescent="0.2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1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</row>
    <row r="797" spans="1:54" x14ac:dyDescent="0.2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1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</row>
    <row r="798" spans="1:54" x14ac:dyDescent="0.2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1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</row>
    <row r="799" spans="1:54" x14ac:dyDescent="0.2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1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</row>
    <row r="800" spans="1:54" x14ac:dyDescent="0.2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1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</row>
    <row r="801" spans="1:54" x14ac:dyDescent="0.2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1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</row>
    <row r="802" spans="1:54" x14ac:dyDescent="0.2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1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</row>
    <row r="803" spans="1:54" x14ac:dyDescent="0.2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1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</row>
    <row r="804" spans="1:54" x14ac:dyDescent="0.2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1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</row>
    <row r="805" spans="1:54" x14ac:dyDescent="0.2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1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</row>
    <row r="806" spans="1:54" x14ac:dyDescent="0.2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1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</row>
    <row r="807" spans="1:54" x14ac:dyDescent="0.2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1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</row>
    <row r="808" spans="1:54" x14ac:dyDescent="0.2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1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</row>
    <row r="809" spans="1:54" x14ac:dyDescent="0.2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1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</row>
    <row r="810" spans="1:54" x14ac:dyDescent="0.2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1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</row>
    <row r="811" spans="1:54" x14ac:dyDescent="0.2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1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</row>
    <row r="812" spans="1:54" x14ac:dyDescent="0.2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1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</row>
    <row r="813" spans="1:54" x14ac:dyDescent="0.2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1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</row>
    <row r="814" spans="1:54" x14ac:dyDescent="0.2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1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</row>
    <row r="815" spans="1:54" x14ac:dyDescent="0.2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1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</row>
    <row r="816" spans="1:54" x14ac:dyDescent="0.2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1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</row>
    <row r="817" spans="1:54" x14ac:dyDescent="0.2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1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</row>
    <row r="818" spans="1:54" x14ac:dyDescent="0.2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1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</row>
    <row r="819" spans="1:54" x14ac:dyDescent="0.2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1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</row>
    <row r="820" spans="1:54" x14ac:dyDescent="0.2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1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</row>
    <row r="821" spans="1:54" x14ac:dyDescent="0.2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1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</row>
    <row r="822" spans="1:54" x14ac:dyDescent="0.2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1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</row>
    <row r="823" spans="1:54" x14ac:dyDescent="0.2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1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</row>
    <row r="824" spans="1:54" x14ac:dyDescent="0.2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1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</row>
    <row r="825" spans="1:54" x14ac:dyDescent="0.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1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</row>
    <row r="826" spans="1:54" x14ac:dyDescent="0.2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1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</row>
    <row r="827" spans="1:54" x14ac:dyDescent="0.2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1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</row>
    <row r="828" spans="1:54" x14ac:dyDescent="0.2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1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</row>
    <row r="829" spans="1:54" x14ac:dyDescent="0.2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1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</row>
    <row r="830" spans="1:54" x14ac:dyDescent="0.2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1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</row>
    <row r="831" spans="1:54" x14ac:dyDescent="0.2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1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</row>
    <row r="832" spans="1:54" x14ac:dyDescent="0.2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1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</row>
    <row r="833" spans="1:54" x14ac:dyDescent="0.2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1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</row>
    <row r="834" spans="1:54" x14ac:dyDescent="0.2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1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</row>
    <row r="835" spans="1:54" x14ac:dyDescent="0.2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1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</row>
    <row r="836" spans="1:54" x14ac:dyDescent="0.2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1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</row>
    <row r="837" spans="1:54" x14ac:dyDescent="0.2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1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</row>
    <row r="838" spans="1:54" x14ac:dyDescent="0.2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1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</row>
    <row r="839" spans="1:54" x14ac:dyDescent="0.2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1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</row>
    <row r="840" spans="1:54" x14ac:dyDescent="0.2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1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</row>
    <row r="841" spans="1:54" x14ac:dyDescent="0.2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1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</row>
    <row r="842" spans="1:54" x14ac:dyDescent="0.2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1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</row>
    <row r="843" spans="1:54" x14ac:dyDescent="0.2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1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</row>
    <row r="844" spans="1:54" x14ac:dyDescent="0.2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1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</row>
    <row r="845" spans="1:54" x14ac:dyDescent="0.2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1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</row>
    <row r="846" spans="1:54" x14ac:dyDescent="0.2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1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</row>
    <row r="847" spans="1:54" x14ac:dyDescent="0.2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1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</row>
    <row r="848" spans="1:54" x14ac:dyDescent="0.2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1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</row>
    <row r="849" spans="1:54" x14ac:dyDescent="0.2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1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</row>
    <row r="850" spans="1:54" x14ac:dyDescent="0.2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1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</row>
    <row r="851" spans="1:54" x14ac:dyDescent="0.2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1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</row>
    <row r="852" spans="1:54" x14ac:dyDescent="0.2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1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</row>
    <row r="853" spans="1:54" x14ac:dyDescent="0.2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1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</row>
    <row r="854" spans="1:54" x14ac:dyDescent="0.2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1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</row>
    <row r="855" spans="1:54" x14ac:dyDescent="0.2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1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</row>
    <row r="856" spans="1:54" x14ac:dyDescent="0.2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1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</row>
    <row r="857" spans="1:54" x14ac:dyDescent="0.2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1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</row>
    <row r="858" spans="1:54" x14ac:dyDescent="0.2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1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</row>
    <row r="859" spans="1:54" x14ac:dyDescent="0.2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1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</row>
    <row r="860" spans="1:54" x14ac:dyDescent="0.2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1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</row>
    <row r="861" spans="1:54" x14ac:dyDescent="0.2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1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</row>
    <row r="862" spans="1:54" x14ac:dyDescent="0.2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1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</row>
    <row r="863" spans="1:54" x14ac:dyDescent="0.2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1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</row>
    <row r="864" spans="1:54" x14ac:dyDescent="0.2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1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</row>
    <row r="865" spans="1:54" x14ac:dyDescent="0.2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1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</row>
    <row r="866" spans="1:54" x14ac:dyDescent="0.2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1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</row>
    <row r="867" spans="1:54" x14ac:dyDescent="0.2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1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</row>
    <row r="868" spans="1:54" x14ac:dyDescent="0.2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1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</row>
    <row r="869" spans="1:54" x14ac:dyDescent="0.2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1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</row>
    <row r="870" spans="1:54" x14ac:dyDescent="0.2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1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</row>
    <row r="871" spans="1:54" x14ac:dyDescent="0.2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1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</row>
    <row r="872" spans="1:54" x14ac:dyDescent="0.2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1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</row>
    <row r="873" spans="1:54" x14ac:dyDescent="0.2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1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</row>
    <row r="874" spans="1:54" x14ac:dyDescent="0.2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1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</row>
    <row r="875" spans="1:54" x14ac:dyDescent="0.2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1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</row>
    <row r="876" spans="1:54" x14ac:dyDescent="0.2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1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</row>
    <row r="877" spans="1:54" x14ac:dyDescent="0.2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1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</row>
    <row r="878" spans="1:54" x14ac:dyDescent="0.2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1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</row>
    <row r="879" spans="1:54" x14ac:dyDescent="0.2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1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</row>
    <row r="880" spans="1:54" x14ac:dyDescent="0.2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1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</row>
    <row r="881" spans="1:54" x14ac:dyDescent="0.2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1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</row>
    <row r="882" spans="1:54" x14ac:dyDescent="0.2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1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</row>
    <row r="883" spans="1:54" x14ac:dyDescent="0.2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1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</row>
    <row r="884" spans="1:54" x14ac:dyDescent="0.2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1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</row>
    <row r="885" spans="1:54" x14ac:dyDescent="0.2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1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</row>
    <row r="886" spans="1:54" x14ac:dyDescent="0.2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1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</row>
    <row r="887" spans="1:54" x14ac:dyDescent="0.2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1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</row>
    <row r="888" spans="1:54" x14ac:dyDescent="0.2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1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</row>
    <row r="889" spans="1:54" x14ac:dyDescent="0.2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1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</row>
    <row r="890" spans="1:54" x14ac:dyDescent="0.2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1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</row>
    <row r="891" spans="1:54" x14ac:dyDescent="0.2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1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</row>
    <row r="892" spans="1:54" x14ac:dyDescent="0.2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1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</row>
    <row r="893" spans="1:54" x14ac:dyDescent="0.2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1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</row>
    <row r="894" spans="1:54" x14ac:dyDescent="0.2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1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</row>
    <row r="895" spans="1:54" x14ac:dyDescent="0.2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1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</row>
    <row r="896" spans="1:54" x14ac:dyDescent="0.2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1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</row>
    <row r="897" spans="1:54" x14ac:dyDescent="0.2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1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</row>
    <row r="898" spans="1:54" x14ac:dyDescent="0.2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1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</row>
    <row r="899" spans="1:54" x14ac:dyDescent="0.2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1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</row>
    <row r="900" spans="1:54" x14ac:dyDescent="0.2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1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</row>
    <row r="901" spans="1:54" x14ac:dyDescent="0.2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1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</row>
    <row r="902" spans="1:54" x14ac:dyDescent="0.2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1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</row>
    <row r="903" spans="1:54" x14ac:dyDescent="0.2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1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</row>
    <row r="904" spans="1:54" x14ac:dyDescent="0.2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1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</row>
    <row r="905" spans="1:54" x14ac:dyDescent="0.2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1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</row>
    <row r="906" spans="1:54" x14ac:dyDescent="0.2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1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</row>
    <row r="907" spans="1:54" x14ac:dyDescent="0.2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1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</row>
    <row r="908" spans="1:54" x14ac:dyDescent="0.2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1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</row>
    <row r="909" spans="1:54" x14ac:dyDescent="0.2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1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</row>
    <row r="910" spans="1:54" x14ac:dyDescent="0.2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1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</row>
    <row r="911" spans="1:54" x14ac:dyDescent="0.2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1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</row>
    <row r="912" spans="1:54" x14ac:dyDescent="0.2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1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</row>
    <row r="913" spans="1:54" x14ac:dyDescent="0.2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1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</row>
    <row r="914" spans="1:54" x14ac:dyDescent="0.2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1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</row>
    <row r="915" spans="1:54" x14ac:dyDescent="0.2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1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</row>
    <row r="916" spans="1:54" x14ac:dyDescent="0.2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1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</row>
    <row r="917" spans="1:54" x14ac:dyDescent="0.2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1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</row>
    <row r="918" spans="1:54" x14ac:dyDescent="0.2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1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</row>
    <row r="919" spans="1:54" x14ac:dyDescent="0.2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1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</row>
    <row r="920" spans="1:54" x14ac:dyDescent="0.2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1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</row>
    <row r="921" spans="1:54" x14ac:dyDescent="0.2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1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</row>
    <row r="922" spans="1:54" x14ac:dyDescent="0.2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1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</row>
    <row r="923" spans="1:54" x14ac:dyDescent="0.2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1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</row>
    <row r="924" spans="1:54" x14ac:dyDescent="0.2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1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</row>
    <row r="925" spans="1:54" x14ac:dyDescent="0.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1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</row>
    <row r="926" spans="1:54" x14ac:dyDescent="0.2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1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</row>
    <row r="927" spans="1:54" x14ac:dyDescent="0.2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1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</row>
    <row r="928" spans="1:54" x14ac:dyDescent="0.2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1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</row>
    <row r="929" spans="1:54" x14ac:dyDescent="0.2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1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</row>
    <row r="930" spans="1:54" x14ac:dyDescent="0.2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1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</row>
    <row r="931" spans="1:54" x14ac:dyDescent="0.2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1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</row>
    <row r="932" spans="1:54" x14ac:dyDescent="0.2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1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</row>
    <row r="933" spans="1:54" x14ac:dyDescent="0.2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1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</row>
    <row r="934" spans="1:54" x14ac:dyDescent="0.2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1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</row>
    <row r="935" spans="1:54" x14ac:dyDescent="0.2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1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</row>
    <row r="936" spans="1:54" x14ac:dyDescent="0.2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1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</row>
    <row r="937" spans="1:54" x14ac:dyDescent="0.2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1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</row>
    <row r="938" spans="1:54" x14ac:dyDescent="0.2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1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</row>
    <row r="939" spans="1:54" x14ac:dyDescent="0.2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1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</row>
    <row r="940" spans="1:54" x14ac:dyDescent="0.2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1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</row>
    <row r="941" spans="1:54" x14ac:dyDescent="0.2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1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</row>
    <row r="942" spans="1:54" x14ac:dyDescent="0.2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1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</row>
    <row r="943" spans="1:54" x14ac:dyDescent="0.2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1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</row>
    <row r="944" spans="1:54" x14ac:dyDescent="0.2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1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</row>
    <row r="945" spans="1:54" x14ac:dyDescent="0.2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1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</row>
    <row r="946" spans="1:54" x14ac:dyDescent="0.2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1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</row>
    <row r="947" spans="1:54" x14ac:dyDescent="0.2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1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</row>
    <row r="948" spans="1:54" x14ac:dyDescent="0.2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1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</row>
    <row r="949" spans="1:54" x14ac:dyDescent="0.2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1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</row>
    <row r="950" spans="1:54" x14ac:dyDescent="0.2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1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</row>
    <row r="951" spans="1:54" x14ac:dyDescent="0.2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1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</row>
    <row r="952" spans="1:54" x14ac:dyDescent="0.2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1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</row>
    <row r="953" spans="1:54" x14ac:dyDescent="0.2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1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</row>
    <row r="954" spans="1:54" x14ac:dyDescent="0.2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1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</row>
    <row r="955" spans="1:54" x14ac:dyDescent="0.2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1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</row>
    <row r="956" spans="1:54" x14ac:dyDescent="0.2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1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</row>
    <row r="957" spans="1:54" x14ac:dyDescent="0.2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1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</row>
    <row r="958" spans="1:54" x14ac:dyDescent="0.2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1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</row>
    <row r="959" spans="1:54" x14ac:dyDescent="0.2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1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</row>
    <row r="960" spans="1:54" x14ac:dyDescent="0.2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1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</row>
    <row r="961" spans="1:54" x14ac:dyDescent="0.2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1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</row>
    <row r="962" spans="1:54" x14ac:dyDescent="0.2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1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</row>
    <row r="963" spans="1:54" x14ac:dyDescent="0.2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1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</row>
    <row r="964" spans="1:54" x14ac:dyDescent="0.2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1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</row>
    <row r="965" spans="1:54" x14ac:dyDescent="0.2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1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</row>
    <row r="966" spans="1:54" x14ac:dyDescent="0.2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1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</row>
    <row r="967" spans="1:54" x14ac:dyDescent="0.2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1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</row>
    <row r="968" spans="1:54" x14ac:dyDescent="0.2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1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</row>
    <row r="969" spans="1:54" x14ac:dyDescent="0.2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1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</row>
    <row r="970" spans="1:54" x14ac:dyDescent="0.2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1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</row>
    <row r="971" spans="1:54" x14ac:dyDescent="0.2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1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</row>
    <row r="972" spans="1:54" x14ac:dyDescent="0.2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1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</row>
    <row r="973" spans="1:54" x14ac:dyDescent="0.2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1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</row>
    <row r="974" spans="1:54" x14ac:dyDescent="0.2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1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</row>
    <row r="975" spans="1:54" x14ac:dyDescent="0.2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1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</row>
    <row r="976" spans="1:54" x14ac:dyDescent="0.2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1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</row>
    <row r="977" spans="1:54" x14ac:dyDescent="0.2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1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</row>
    <row r="978" spans="1:54" x14ac:dyDescent="0.2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1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</row>
    <row r="979" spans="1:54" x14ac:dyDescent="0.2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1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</row>
    <row r="980" spans="1:54" x14ac:dyDescent="0.2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1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</row>
    <row r="981" spans="1:54" x14ac:dyDescent="0.2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1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</row>
    <row r="982" spans="1:54" x14ac:dyDescent="0.2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1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</row>
    <row r="983" spans="1:54" x14ac:dyDescent="0.2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1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</row>
    <row r="984" spans="1:54" x14ac:dyDescent="0.2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1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</row>
    <row r="985" spans="1:54" x14ac:dyDescent="0.2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1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</row>
    <row r="986" spans="1:54" x14ac:dyDescent="0.2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1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</row>
    <row r="987" spans="1:54" x14ac:dyDescent="0.2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1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</row>
    <row r="988" spans="1:54" x14ac:dyDescent="0.2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1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</row>
    <row r="989" spans="1:54" x14ac:dyDescent="0.2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1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</row>
    <row r="990" spans="1:54" x14ac:dyDescent="0.2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1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</row>
    <row r="991" spans="1:54" x14ac:dyDescent="0.2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1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</row>
    <row r="992" spans="1:54" x14ac:dyDescent="0.2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1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</row>
    <row r="993" spans="1:54" x14ac:dyDescent="0.2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1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</row>
    <row r="994" spans="1:54" x14ac:dyDescent="0.2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1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</row>
    <row r="995" spans="1:54" x14ac:dyDescent="0.2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1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</row>
    <row r="996" spans="1:54" x14ac:dyDescent="0.2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1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</row>
    <row r="997" spans="1:54" x14ac:dyDescent="0.2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1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</row>
    <row r="998" spans="1:54" x14ac:dyDescent="0.2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1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</row>
    <row r="999" spans="1:54" x14ac:dyDescent="0.2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1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</row>
    <row r="1000" spans="1:54" x14ac:dyDescent="0.2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1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4EEA-CEB9-4259-9785-D3BEDFE3F969}">
  <dimension ref="A1:E49"/>
  <sheetViews>
    <sheetView zoomScale="150" zoomScaleNormal="150" workbookViewId="0">
      <selection activeCell="E13" sqref="E13"/>
    </sheetView>
  </sheetViews>
  <sheetFormatPr defaultRowHeight="18.600000000000001" customHeight="1" x14ac:dyDescent="0.25"/>
  <cols>
    <col min="1" max="1" width="6.21875" style="43" bestFit="1" customWidth="1"/>
    <col min="2" max="2" width="35" style="43" customWidth="1"/>
    <col min="3" max="3" width="10.6640625" style="43" bestFit="1" customWidth="1"/>
    <col min="4" max="4" width="40.44140625" style="43" customWidth="1"/>
    <col min="5" max="5" width="62.6640625" style="43" customWidth="1"/>
    <col min="6" max="16384" width="8.88671875" style="43"/>
  </cols>
  <sheetData>
    <row r="1" spans="1:5" ht="18.600000000000001" customHeight="1" x14ac:dyDescent="0.25">
      <c r="A1" s="58" t="s">
        <v>48</v>
      </c>
      <c r="B1" s="58" t="s">
        <v>212</v>
      </c>
      <c r="C1" s="58" t="s">
        <v>213</v>
      </c>
      <c r="D1" s="58" t="s">
        <v>215</v>
      </c>
      <c r="E1" s="58" t="s">
        <v>216</v>
      </c>
    </row>
    <row r="2" spans="1:5" ht="18.600000000000001" customHeight="1" x14ac:dyDescent="0.25">
      <c r="A2" s="54" t="s">
        <v>50</v>
      </c>
      <c r="B2" s="56" t="s">
        <v>51</v>
      </c>
      <c r="C2" s="54" t="s">
        <v>52</v>
      </c>
      <c r="D2" s="56" t="s">
        <v>250</v>
      </c>
      <c r="E2" s="59" t="s">
        <v>268</v>
      </c>
    </row>
    <row r="3" spans="1:5" ht="18.600000000000001" customHeight="1" x14ac:dyDescent="0.25">
      <c r="A3" s="61"/>
      <c r="B3" s="62"/>
      <c r="C3" s="61"/>
      <c r="D3" s="57"/>
      <c r="E3" s="59" t="s">
        <v>269</v>
      </c>
    </row>
    <row r="4" spans="1:5" ht="18.600000000000001" customHeight="1" x14ac:dyDescent="0.25">
      <c r="A4" s="61"/>
      <c r="B4" s="62"/>
      <c r="C4" s="61"/>
      <c r="D4" s="56" t="s">
        <v>251</v>
      </c>
      <c r="E4" s="59" t="s">
        <v>270</v>
      </c>
    </row>
    <row r="5" spans="1:5" ht="18.600000000000001" customHeight="1" x14ac:dyDescent="0.25">
      <c r="A5" s="55"/>
      <c r="B5" s="57"/>
      <c r="C5" s="55"/>
      <c r="D5" s="57"/>
      <c r="E5" s="59" t="s">
        <v>271</v>
      </c>
    </row>
    <row r="6" spans="1:5" ht="18.600000000000001" customHeight="1" x14ac:dyDescent="0.25">
      <c r="A6" s="54" t="s">
        <v>53</v>
      </c>
      <c r="B6" s="56" t="s">
        <v>54</v>
      </c>
      <c r="C6" s="54" t="s">
        <v>52</v>
      </c>
      <c r="D6" s="56" t="s">
        <v>252</v>
      </c>
      <c r="E6" s="59" t="s">
        <v>274</v>
      </c>
    </row>
    <row r="7" spans="1:5" ht="18.600000000000001" customHeight="1" x14ac:dyDescent="0.25">
      <c r="A7" s="61"/>
      <c r="B7" s="62"/>
      <c r="C7" s="61"/>
      <c r="D7" s="57"/>
      <c r="E7" s="59" t="s">
        <v>275</v>
      </c>
    </row>
    <row r="8" spans="1:5" ht="18.600000000000001" customHeight="1" x14ac:dyDescent="0.25">
      <c r="A8" s="61"/>
      <c r="B8" s="62"/>
      <c r="C8" s="61"/>
      <c r="D8" s="56" t="s">
        <v>253</v>
      </c>
      <c r="E8" s="59" t="s">
        <v>272</v>
      </c>
    </row>
    <row r="9" spans="1:5" ht="18.600000000000001" customHeight="1" x14ac:dyDescent="0.25">
      <c r="A9" s="55"/>
      <c r="B9" s="57"/>
      <c r="C9" s="55"/>
      <c r="D9" s="57"/>
      <c r="E9" s="59" t="s">
        <v>273</v>
      </c>
    </row>
    <row r="10" spans="1:5" ht="18.600000000000001" customHeight="1" x14ac:dyDescent="0.25">
      <c r="A10" s="54" t="s">
        <v>55</v>
      </c>
      <c r="B10" s="56" t="s">
        <v>56</v>
      </c>
      <c r="C10" s="54" t="s">
        <v>57</v>
      </c>
      <c r="D10" s="56" t="s">
        <v>254</v>
      </c>
      <c r="E10" s="59" t="s">
        <v>276</v>
      </c>
    </row>
    <row r="11" spans="1:5" ht="18.600000000000001" customHeight="1" x14ac:dyDescent="0.25">
      <c r="A11" s="61"/>
      <c r="B11" s="62"/>
      <c r="C11" s="61"/>
      <c r="D11" s="57"/>
      <c r="E11" s="59" t="s">
        <v>277</v>
      </c>
    </row>
    <row r="12" spans="1:5" ht="18.600000000000001" customHeight="1" x14ac:dyDescent="0.25">
      <c r="A12" s="61"/>
      <c r="B12" s="62"/>
      <c r="C12" s="61"/>
      <c r="D12" s="56" t="s">
        <v>255</v>
      </c>
      <c r="E12" s="59" t="s">
        <v>278</v>
      </c>
    </row>
    <row r="13" spans="1:5" ht="18.600000000000001" customHeight="1" x14ac:dyDescent="0.25">
      <c r="A13" s="55"/>
      <c r="B13" s="57"/>
      <c r="C13" s="55"/>
      <c r="D13" s="57"/>
      <c r="E13" s="59" t="s">
        <v>279</v>
      </c>
    </row>
    <row r="14" spans="1:5" ht="18.600000000000001" customHeight="1" x14ac:dyDescent="0.25">
      <c r="A14" s="54" t="s">
        <v>58</v>
      </c>
      <c r="B14" s="56" t="s">
        <v>249</v>
      </c>
      <c r="C14" s="54" t="s">
        <v>57</v>
      </c>
      <c r="D14" s="56" t="s">
        <v>256</v>
      </c>
      <c r="E14" s="59" t="s">
        <v>280</v>
      </c>
    </row>
    <row r="15" spans="1:5" ht="18.600000000000001" customHeight="1" x14ac:dyDescent="0.25">
      <c r="A15" s="61"/>
      <c r="B15" s="62"/>
      <c r="C15" s="61"/>
      <c r="D15" s="57"/>
      <c r="E15" s="59" t="s">
        <v>281</v>
      </c>
    </row>
    <row r="16" spans="1:5" ht="18.600000000000001" customHeight="1" x14ac:dyDescent="0.25">
      <c r="A16" s="61"/>
      <c r="B16" s="62"/>
      <c r="C16" s="61"/>
      <c r="D16" s="56" t="s">
        <v>257</v>
      </c>
      <c r="E16" s="59" t="s">
        <v>282</v>
      </c>
    </row>
    <row r="17" spans="1:5" ht="18.600000000000001" customHeight="1" x14ac:dyDescent="0.25">
      <c r="A17" s="55"/>
      <c r="B17" s="57"/>
      <c r="C17" s="55"/>
      <c r="D17" s="57"/>
      <c r="E17" s="59" t="s">
        <v>283</v>
      </c>
    </row>
    <row r="18" spans="1:5" ht="18.600000000000001" customHeight="1" x14ac:dyDescent="0.25">
      <c r="A18" s="54" t="s">
        <v>60</v>
      </c>
      <c r="B18" s="56" t="s">
        <v>61</v>
      </c>
      <c r="C18" s="54" t="s">
        <v>52</v>
      </c>
      <c r="D18" s="56" t="s">
        <v>258</v>
      </c>
      <c r="E18" s="59" t="s">
        <v>286</v>
      </c>
    </row>
    <row r="19" spans="1:5" ht="18.600000000000001" customHeight="1" x14ac:dyDescent="0.25">
      <c r="A19" s="61"/>
      <c r="B19" s="62"/>
      <c r="C19" s="61"/>
      <c r="D19" s="57"/>
      <c r="E19" s="59" t="s">
        <v>287</v>
      </c>
    </row>
    <row r="20" spans="1:5" ht="18.600000000000001" customHeight="1" x14ac:dyDescent="0.25">
      <c r="A20" s="61"/>
      <c r="B20" s="62"/>
      <c r="C20" s="61"/>
      <c r="D20" s="56" t="s">
        <v>259</v>
      </c>
      <c r="E20" s="59" t="s">
        <v>284</v>
      </c>
    </row>
    <row r="21" spans="1:5" ht="18.600000000000001" customHeight="1" x14ac:dyDescent="0.25">
      <c r="A21" s="55"/>
      <c r="B21" s="57"/>
      <c r="C21" s="55"/>
      <c r="D21" s="57"/>
      <c r="E21" s="59" t="s">
        <v>285</v>
      </c>
    </row>
    <row r="22" spans="1:5" ht="18.600000000000001" customHeight="1" x14ac:dyDescent="0.25">
      <c r="A22" s="54" t="s">
        <v>62</v>
      </c>
      <c r="B22" s="56" t="s">
        <v>63</v>
      </c>
      <c r="C22" s="54" t="s">
        <v>64</v>
      </c>
      <c r="D22" s="56" t="s">
        <v>260</v>
      </c>
      <c r="E22" s="59" t="s">
        <v>288</v>
      </c>
    </row>
    <row r="23" spans="1:5" ht="18.600000000000001" customHeight="1" x14ac:dyDescent="0.25">
      <c r="A23" s="61"/>
      <c r="B23" s="62"/>
      <c r="C23" s="61"/>
      <c r="D23" s="57"/>
      <c r="E23" s="59" t="s">
        <v>289</v>
      </c>
    </row>
    <row r="24" spans="1:5" ht="18.600000000000001" customHeight="1" x14ac:dyDescent="0.25">
      <c r="A24" s="61"/>
      <c r="B24" s="62"/>
      <c r="C24" s="61"/>
      <c r="D24" s="56" t="s">
        <v>261</v>
      </c>
      <c r="E24" s="59" t="s">
        <v>290</v>
      </c>
    </row>
    <row r="25" spans="1:5" ht="18.600000000000001" customHeight="1" x14ac:dyDescent="0.25">
      <c r="A25" s="55"/>
      <c r="B25" s="57"/>
      <c r="C25" s="55"/>
      <c r="D25" s="57"/>
      <c r="E25" s="59" t="s">
        <v>291</v>
      </c>
    </row>
    <row r="26" spans="1:5" ht="18.600000000000001" customHeight="1" x14ac:dyDescent="0.25">
      <c r="A26" s="54" t="s">
        <v>65</v>
      </c>
      <c r="B26" s="56" t="s">
        <v>66</v>
      </c>
      <c r="C26" s="54" t="s">
        <v>64</v>
      </c>
      <c r="D26" s="56" t="s">
        <v>262</v>
      </c>
      <c r="E26" s="59" t="s">
        <v>292</v>
      </c>
    </row>
    <row r="27" spans="1:5" ht="18.600000000000001" customHeight="1" x14ac:dyDescent="0.25">
      <c r="A27" s="61"/>
      <c r="B27" s="62"/>
      <c r="C27" s="61"/>
      <c r="D27" s="57"/>
      <c r="E27" s="59" t="s">
        <v>293</v>
      </c>
    </row>
    <row r="28" spans="1:5" ht="18.600000000000001" customHeight="1" x14ac:dyDescent="0.25">
      <c r="A28" s="61"/>
      <c r="B28" s="62"/>
      <c r="C28" s="61"/>
      <c r="D28" s="56" t="s">
        <v>263</v>
      </c>
      <c r="E28" s="59" t="s">
        <v>294</v>
      </c>
    </row>
    <row r="29" spans="1:5" ht="18.600000000000001" customHeight="1" x14ac:dyDescent="0.25">
      <c r="A29" s="55"/>
      <c r="B29" s="57"/>
      <c r="C29" s="55"/>
      <c r="D29" s="57"/>
      <c r="E29" s="59" t="s">
        <v>295</v>
      </c>
    </row>
    <row r="30" spans="1:5" ht="18.600000000000001" customHeight="1" x14ac:dyDescent="0.25">
      <c r="A30" s="54" t="s">
        <v>67</v>
      </c>
      <c r="B30" s="56" t="s">
        <v>68</v>
      </c>
      <c r="C30" s="54" t="s">
        <v>64</v>
      </c>
      <c r="D30" s="56" t="s">
        <v>264</v>
      </c>
      <c r="E30" s="59" t="s">
        <v>296</v>
      </c>
    </row>
    <row r="31" spans="1:5" ht="18.600000000000001" customHeight="1" x14ac:dyDescent="0.25">
      <c r="A31" s="61"/>
      <c r="B31" s="62"/>
      <c r="C31" s="61"/>
      <c r="D31" s="57"/>
      <c r="E31" s="59" t="s">
        <v>297</v>
      </c>
    </row>
    <row r="32" spans="1:5" ht="18.600000000000001" customHeight="1" x14ac:dyDescent="0.25">
      <c r="A32" s="61"/>
      <c r="B32" s="62"/>
      <c r="C32" s="61"/>
      <c r="D32" s="56" t="s">
        <v>265</v>
      </c>
      <c r="E32" s="59" t="s">
        <v>298</v>
      </c>
    </row>
    <row r="33" spans="1:5" ht="18.600000000000001" customHeight="1" x14ac:dyDescent="0.25">
      <c r="A33" s="55"/>
      <c r="B33" s="57"/>
      <c r="C33" s="55"/>
      <c r="D33" s="57"/>
      <c r="E33" s="59" t="s">
        <v>299</v>
      </c>
    </row>
    <row r="34" spans="1:5" ht="18.600000000000001" customHeight="1" x14ac:dyDescent="0.25">
      <c r="A34" s="54" t="s">
        <v>69</v>
      </c>
      <c r="B34" s="56" t="s">
        <v>70</v>
      </c>
      <c r="C34" s="54" t="s">
        <v>57</v>
      </c>
      <c r="D34" s="56" t="s">
        <v>266</v>
      </c>
      <c r="E34" s="59" t="s">
        <v>300</v>
      </c>
    </row>
    <row r="35" spans="1:5" ht="18.600000000000001" customHeight="1" x14ac:dyDescent="0.25">
      <c r="A35" s="61"/>
      <c r="B35" s="62"/>
      <c r="C35" s="61"/>
      <c r="D35" s="57"/>
      <c r="E35" s="59" t="s">
        <v>301</v>
      </c>
    </row>
    <row r="36" spans="1:5" ht="18.600000000000001" customHeight="1" x14ac:dyDescent="0.25">
      <c r="A36" s="61"/>
      <c r="B36" s="62"/>
      <c r="C36" s="61"/>
      <c r="D36" s="56" t="s">
        <v>267</v>
      </c>
      <c r="E36" s="59" t="s">
        <v>302</v>
      </c>
    </row>
    <row r="37" spans="1:5" ht="18.600000000000001" customHeight="1" x14ac:dyDescent="0.25">
      <c r="A37" s="55"/>
      <c r="B37" s="57"/>
      <c r="C37" s="55"/>
      <c r="D37" s="57"/>
      <c r="E37" s="60" t="s">
        <v>303</v>
      </c>
    </row>
    <row r="38" spans="1:5" ht="18.600000000000001" customHeight="1" x14ac:dyDescent="0.25">
      <c r="A38" s="54" t="s">
        <v>71</v>
      </c>
      <c r="B38" s="56" t="s">
        <v>72</v>
      </c>
      <c r="C38" s="54" t="s">
        <v>57</v>
      </c>
      <c r="D38" s="56" t="s">
        <v>316</v>
      </c>
      <c r="E38" s="59" t="s">
        <v>304</v>
      </c>
    </row>
    <row r="39" spans="1:5" ht="18.600000000000001" customHeight="1" x14ac:dyDescent="0.25">
      <c r="A39" s="61"/>
      <c r="B39" s="62"/>
      <c r="C39" s="61"/>
      <c r="D39" s="57"/>
      <c r="E39" s="59" t="s">
        <v>305</v>
      </c>
    </row>
    <row r="40" spans="1:5" ht="18.600000000000001" customHeight="1" x14ac:dyDescent="0.25">
      <c r="A40" s="61"/>
      <c r="B40" s="62"/>
      <c r="C40" s="61"/>
      <c r="D40" s="56" t="s">
        <v>317</v>
      </c>
      <c r="E40" s="59" t="s">
        <v>306</v>
      </c>
    </row>
    <row r="41" spans="1:5" ht="18.600000000000001" customHeight="1" x14ac:dyDescent="0.25">
      <c r="A41" s="55"/>
      <c r="B41" s="57"/>
      <c r="C41" s="55"/>
      <c r="D41" s="57"/>
      <c r="E41" s="60" t="s">
        <v>307</v>
      </c>
    </row>
    <row r="42" spans="1:5" ht="18.600000000000001" customHeight="1" x14ac:dyDescent="0.25">
      <c r="A42" s="54" t="s">
        <v>73</v>
      </c>
      <c r="B42" s="56" t="s">
        <v>74</v>
      </c>
      <c r="C42" s="54" t="s">
        <v>57</v>
      </c>
      <c r="D42" s="56" t="s">
        <v>318</v>
      </c>
      <c r="E42" s="59" t="s">
        <v>308</v>
      </c>
    </row>
    <row r="43" spans="1:5" ht="18.600000000000001" customHeight="1" x14ac:dyDescent="0.25">
      <c r="A43" s="61"/>
      <c r="B43" s="62"/>
      <c r="C43" s="61"/>
      <c r="D43" s="57"/>
      <c r="E43" s="59" t="s">
        <v>309</v>
      </c>
    </row>
    <row r="44" spans="1:5" ht="18.600000000000001" customHeight="1" x14ac:dyDescent="0.25">
      <c r="A44" s="61"/>
      <c r="B44" s="62"/>
      <c r="C44" s="61"/>
      <c r="D44" s="56" t="s">
        <v>319</v>
      </c>
      <c r="E44" s="59" t="s">
        <v>310</v>
      </c>
    </row>
    <row r="45" spans="1:5" ht="18.600000000000001" customHeight="1" x14ac:dyDescent="0.25">
      <c r="A45" s="55"/>
      <c r="B45" s="57"/>
      <c r="C45" s="55"/>
      <c r="D45" s="57"/>
      <c r="E45" s="60" t="s">
        <v>311</v>
      </c>
    </row>
    <row r="46" spans="1:5" ht="18.600000000000001" customHeight="1" x14ac:dyDescent="0.25">
      <c r="A46" s="54" t="s">
        <v>75</v>
      </c>
      <c r="B46" s="56" t="s">
        <v>76</v>
      </c>
      <c r="C46" s="54" t="s">
        <v>52</v>
      </c>
      <c r="D46" s="56" t="s">
        <v>320</v>
      </c>
      <c r="E46" s="59" t="s">
        <v>312</v>
      </c>
    </row>
    <row r="47" spans="1:5" ht="18.600000000000001" customHeight="1" x14ac:dyDescent="0.25">
      <c r="A47" s="61"/>
      <c r="B47" s="62"/>
      <c r="C47" s="61"/>
      <c r="D47" s="57"/>
      <c r="E47" s="59" t="s">
        <v>313</v>
      </c>
    </row>
    <row r="48" spans="1:5" ht="18.600000000000001" customHeight="1" x14ac:dyDescent="0.25">
      <c r="A48" s="61"/>
      <c r="B48" s="62"/>
      <c r="C48" s="61"/>
      <c r="D48" s="56" t="s">
        <v>321</v>
      </c>
      <c r="E48" s="59" t="s">
        <v>314</v>
      </c>
    </row>
    <row r="49" spans="1:5" ht="18.600000000000001" customHeight="1" x14ac:dyDescent="0.25">
      <c r="A49" s="55"/>
      <c r="B49" s="57"/>
      <c r="C49" s="55"/>
      <c r="D49" s="57"/>
      <c r="E49" s="60" t="s">
        <v>315</v>
      </c>
    </row>
  </sheetData>
  <mergeCells count="60">
    <mergeCell ref="A42:A45"/>
    <mergeCell ref="B42:B45"/>
    <mergeCell ref="C42:C45"/>
    <mergeCell ref="D42:D43"/>
    <mergeCell ref="D44:D45"/>
    <mergeCell ref="A46:A49"/>
    <mergeCell ref="B46:B49"/>
    <mergeCell ref="C46:C49"/>
    <mergeCell ref="D46:D47"/>
    <mergeCell ref="D48:D49"/>
    <mergeCell ref="A34:A37"/>
    <mergeCell ref="B34:B37"/>
    <mergeCell ref="D34:D35"/>
    <mergeCell ref="D36:D37"/>
    <mergeCell ref="C34:C37"/>
    <mergeCell ref="A38:A41"/>
    <mergeCell ref="B38:B41"/>
    <mergeCell ref="C38:C41"/>
    <mergeCell ref="D38:D39"/>
    <mergeCell ref="D40:D41"/>
    <mergeCell ref="A26:A29"/>
    <mergeCell ref="B26:B29"/>
    <mergeCell ref="C26:C29"/>
    <mergeCell ref="D26:D27"/>
    <mergeCell ref="D28:D29"/>
    <mergeCell ref="A30:A33"/>
    <mergeCell ref="B30:B33"/>
    <mergeCell ref="C30:C33"/>
    <mergeCell ref="D30:D31"/>
    <mergeCell ref="D32:D33"/>
    <mergeCell ref="A18:A21"/>
    <mergeCell ref="B18:B21"/>
    <mergeCell ref="C18:C21"/>
    <mergeCell ref="D18:D19"/>
    <mergeCell ref="D20:D21"/>
    <mergeCell ref="A22:A25"/>
    <mergeCell ref="B22:B25"/>
    <mergeCell ref="C22:C25"/>
    <mergeCell ref="D22:D23"/>
    <mergeCell ref="D24:D25"/>
    <mergeCell ref="A10:A13"/>
    <mergeCell ref="B10:B13"/>
    <mergeCell ref="C10:C13"/>
    <mergeCell ref="D10:D11"/>
    <mergeCell ref="D12:D13"/>
    <mergeCell ref="A14:A17"/>
    <mergeCell ref="B14:B17"/>
    <mergeCell ref="C14:C17"/>
    <mergeCell ref="D14:D15"/>
    <mergeCell ref="D16:D17"/>
    <mergeCell ref="A2:A5"/>
    <mergeCell ref="B2:B5"/>
    <mergeCell ref="C2:C5"/>
    <mergeCell ref="D2:D3"/>
    <mergeCell ref="D4:D5"/>
    <mergeCell ref="A6:A9"/>
    <mergeCell ref="B6:B9"/>
    <mergeCell ref="C6:C9"/>
    <mergeCell ref="D6:D7"/>
    <mergeCell ref="D8:D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123A-1D01-45AE-8558-099F79CE227E}">
  <dimension ref="A1:F17"/>
  <sheetViews>
    <sheetView tabSelected="1" topLeftCell="C1" zoomScale="160" zoomScaleNormal="160" workbookViewId="0">
      <selection activeCell="F11" sqref="F11"/>
    </sheetView>
  </sheetViews>
  <sheetFormatPr defaultRowHeight="19.2" customHeight="1" x14ac:dyDescent="0.25"/>
  <cols>
    <col min="1" max="1" width="6.109375" bestFit="1" customWidth="1"/>
    <col min="2" max="2" width="37" style="43" customWidth="1"/>
    <col min="3" max="3" width="11.77734375" bestFit="1" customWidth="1"/>
    <col min="4" max="4" width="11.77734375" customWidth="1"/>
    <col min="5" max="5" width="45.6640625" style="43" customWidth="1"/>
    <col min="6" max="6" width="71.6640625" style="43" customWidth="1"/>
  </cols>
  <sheetData>
    <row r="1" spans="1:6" ht="19.2" customHeight="1" x14ac:dyDescent="0.25">
      <c r="A1" s="44" t="s">
        <v>78</v>
      </c>
      <c r="B1" s="45" t="s">
        <v>214</v>
      </c>
      <c r="C1" s="46" t="s">
        <v>49</v>
      </c>
      <c r="D1" s="46" t="s">
        <v>80</v>
      </c>
      <c r="E1" s="45" t="s">
        <v>215</v>
      </c>
      <c r="F1" s="45" t="s">
        <v>216</v>
      </c>
    </row>
    <row r="2" spans="1:6" ht="19.2" customHeight="1" x14ac:dyDescent="0.25">
      <c r="A2" s="47" t="s">
        <v>217</v>
      </c>
      <c r="B2" s="48" t="s">
        <v>218</v>
      </c>
      <c r="C2" s="50" t="s">
        <v>52</v>
      </c>
      <c r="D2" s="50" t="s">
        <v>83</v>
      </c>
      <c r="E2" s="48" t="s">
        <v>229</v>
      </c>
      <c r="F2" s="49" t="s">
        <v>225</v>
      </c>
    </row>
    <row r="3" spans="1:6" ht="19.2" customHeight="1" x14ac:dyDescent="0.25">
      <c r="A3" s="47"/>
      <c r="B3" s="48"/>
      <c r="C3" s="50"/>
      <c r="D3" s="50"/>
      <c r="E3" s="48"/>
      <c r="F3" s="49" t="s">
        <v>226</v>
      </c>
    </row>
    <row r="4" spans="1:6" ht="19.2" customHeight="1" x14ac:dyDescent="0.25">
      <c r="A4" s="47"/>
      <c r="B4" s="48"/>
      <c r="C4" s="50"/>
      <c r="D4" s="50"/>
      <c r="E4" s="48" t="s">
        <v>230</v>
      </c>
      <c r="F4" s="49" t="s">
        <v>227</v>
      </c>
    </row>
    <row r="5" spans="1:6" ht="19.2" customHeight="1" x14ac:dyDescent="0.25">
      <c r="A5" s="47"/>
      <c r="B5" s="48"/>
      <c r="C5" s="50"/>
      <c r="D5" s="50"/>
      <c r="E5" s="48"/>
      <c r="F5" s="49" t="s">
        <v>228</v>
      </c>
    </row>
    <row r="6" spans="1:6" ht="19.2" customHeight="1" x14ac:dyDescent="0.25">
      <c r="A6" s="47" t="s">
        <v>219</v>
      </c>
      <c r="B6" s="48" t="s">
        <v>220</v>
      </c>
      <c r="C6" s="50" t="s">
        <v>52</v>
      </c>
      <c r="D6" s="51" t="s">
        <v>86</v>
      </c>
      <c r="E6" s="48" t="s">
        <v>231</v>
      </c>
      <c r="F6" s="49" t="s">
        <v>237</v>
      </c>
    </row>
    <row r="7" spans="1:6" ht="19.2" customHeight="1" x14ac:dyDescent="0.25">
      <c r="A7" s="47"/>
      <c r="B7" s="48"/>
      <c r="C7" s="50"/>
      <c r="D7" s="52"/>
      <c r="E7" s="48"/>
      <c r="F7" s="49" t="s">
        <v>238</v>
      </c>
    </row>
    <row r="8" spans="1:6" ht="19.2" customHeight="1" x14ac:dyDescent="0.25">
      <c r="A8" s="47"/>
      <c r="B8" s="48"/>
      <c r="C8" s="50"/>
      <c r="D8" s="52"/>
      <c r="E8" s="48" t="s">
        <v>232</v>
      </c>
      <c r="F8" s="49" t="s">
        <v>239</v>
      </c>
    </row>
    <row r="9" spans="1:6" ht="19.2" customHeight="1" x14ac:dyDescent="0.25">
      <c r="A9" s="47"/>
      <c r="B9" s="48"/>
      <c r="C9" s="50"/>
      <c r="D9" s="53"/>
      <c r="E9" s="48"/>
      <c r="F9" s="49" t="s">
        <v>240</v>
      </c>
    </row>
    <row r="10" spans="1:6" ht="19.2" customHeight="1" x14ac:dyDescent="0.25">
      <c r="A10" s="47" t="s">
        <v>221</v>
      </c>
      <c r="B10" s="48" t="s">
        <v>222</v>
      </c>
      <c r="C10" s="50" t="s">
        <v>57</v>
      </c>
      <c r="D10" s="50" t="s">
        <v>89</v>
      </c>
      <c r="E10" s="48" t="s">
        <v>233</v>
      </c>
      <c r="F10" s="49" t="s">
        <v>241</v>
      </c>
    </row>
    <row r="11" spans="1:6" ht="19.2" customHeight="1" x14ac:dyDescent="0.25">
      <c r="A11" s="47"/>
      <c r="B11" s="48"/>
      <c r="C11" s="50"/>
      <c r="D11" s="50"/>
      <c r="E11" s="48"/>
      <c r="F11" s="49" t="s">
        <v>242</v>
      </c>
    </row>
    <row r="12" spans="1:6" ht="19.2" customHeight="1" x14ac:dyDescent="0.25">
      <c r="A12" s="47"/>
      <c r="B12" s="48"/>
      <c r="C12" s="50"/>
      <c r="D12" s="50"/>
      <c r="E12" s="48" t="s">
        <v>234</v>
      </c>
      <c r="F12" s="49" t="s">
        <v>243</v>
      </c>
    </row>
    <row r="13" spans="1:6" ht="19.2" customHeight="1" x14ac:dyDescent="0.25">
      <c r="A13" s="47"/>
      <c r="B13" s="48"/>
      <c r="C13" s="50"/>
      <c r="D13" s="50"/>
      <c r="E13" s="48"/>
      <c r="F13" s="49" t="s">
        <v>244</v>
      </c>
    </row>
    <row r="14" spans="1:6" ht="19.2" customHeight="1" x14ac:dyDescent="0.25">
      <c r="A14" s="47" t="s">
        <v>223</v>
      </c>
      <c r="B14" s="48" t="s">
        <v>224</v>
      </c>
      <c r="C14" s="50" t="s">
        <v>57</v>
      </c>
      <c r="D14" s="50" t="s">
        <v>89</v>
      </c>
      <c r="E14" s="48" t="s">
        <v>235</v>
      </c>
      <c r="F14" s="49" t="s">
        <v>245</v>
      </c>
    </row>
    <row r="15" spans="1:6" ht="19.2" customHeight="1" x14ac:dyDescent="0.25">
      <c r="A15" s="47"/>
      <c r="B15" s="48"/>
      <c r="C15" s="50"/>
      <c r="D15" s="50"/>
      <c r="E15" s="48"/>
      <c r="F15" s="49" t="s">
        <v>246</v>
      </c>
    </row>
    <row r="16" spans="1:6" ht="19.2" customHeight="1" x14ac:dyDescent="0.25">
      <c r="A16" s="47"/>
      <c r="B16" s="48"/>
      <c r="C16" s="50"/>
      <c r="D16" s="50"/>
      <c r="E16" s="56" t="s">
        <v>236</v>
      </c>
      <c r="F16" s="49" t="s">
        <v>247</v>
      </c>
    </row>
    <row r="17" spans="1:6" ht="19.2" customHeight="1" x14ac:dyDescent="0.25">
      <c r="A17" s="47"/>
      <c r="B17" s="48"/>
      <c r="C17" s="50"/>
      <c r="D17" s="50"/>
      <c r="E17" s="57"/>
      <c r="F17" s="49" t="s">
        <v>248</v>
      </c>
    </row>
  </sheetData>
  <mergeCells count="24">
    <mergeCell ref="A14:A17"/>
    <mergeCell ref="A10:A13"/>
    <mergeCell ref="C14:C17"/>
    <mergeCell ref="D2:D5"/>
    <mergeCell ref="D10:D13"/>
    <mergeCell ref="D14:D17"/>
    <mergeCell ref="D6:D9"/>
    <mergeCell ref="B10:B13"/>
    <mergeCell ref="C10:C13"/>
    <mergeCell ref="E10:E11"/>
    <mergeCell ref="E12:E13"/>
    <mergeCell ref="E14:E15"/>
    <mergeCell ref="B14:B17"/>
    <mergeCell ref="E16:E17"/>
    <mergeCell ref="E2:E3"/>
    <mergeCell ref="E4:E5"/>
    <mergeCell ref="A2:A5"/>
    <mergeCell ref="B2:B5"/>
    <mergeCell ref="C2:C5"/>
    <mergeCell ref="E6:E7"/>
    <mergeCell ref="B6:B9"/>
    <mergeCell ref="A6:A9"/>
    <mergeCell ref="C6:C9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GAs</vt:lpstr>
      <vt:lpstr>PEOs</vt:lpstr>
      <vt:lpstr>POs &amp; PSOs</vt:lpstr>
      <vt:lpstr>COs</vt:lpstr>
      <vt:lpstr>Assessments</vt:lpstr>
      <vt:lpstr>IA Marks</vt:lpstr>
      <vt:lpstr>Componentwise marks</vt:lpstr>
      <vt:lpstr>Copy of Calculations_new</vt:lpstr>
      <vt:lpstr>POs &amp; PSOs - CPI</vt:lpstr>
      <vt:lpstr>COs - CPI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 M N</dc:creator>
  <cp:lastModifiedBy>Sundar M N</cp:lastModifiedBy>
  <dcterms:created xsi:type="dcterms:W3CDTF">2025-07-11T18:01:57Z</dcterms:created>
  <dcterms:modified xsi:type="dcterms:W3CDTF">2025-07-12T08:53:59Z</dcterms:modified>
</cp:coreProperties>
</file>